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dl-zwsa\共有ドライブ\共有フォルダ\工事台帳\キョウラクの工事台帳\Ｒ８年度\R8年   3月\"/>
    </mc:Choice>
  </mc:AlternateContent>
  <xr:revisionPtr revIDLastSave="0" documentId="13_ncr:1_{F7380C3A-F728-4FD9-AA36-0BDCC528E23F}" xr6:coauthVersionLast="47" xr6:coauthVersionMax="47" xr10:uidLastSave="{00000000-0000-0000-0000-000000000000}"/>
  <bookViews>
    <workbookView xWindow="14295" yWindow="0" windowWidth="14610" windowHeight="15585" tabRatio="904" xr2:uid="{00000000-000D-0000-FFFF-FFFF00000000}"/>
  </bookViews>
  <sheets>
    <sheet name="工事台帳ＮＥＷ" sheetId="17" r:id="rId1"/>
    <sheet name="請求入金確認表" sheetId="1" r:id="rId2"/>
    <sheet name="R8-2請求" sheetId="27" r:id="rId3"/>
    <sheet name="R7-12請求" sheetId="26" r:id="rId4"/>
    <sheet name="R7-11請求" sheetId="24" r:id="rId5"/>
    <sheet name="R7-9月請求" sheetId="23" r:id="rId6"/>
    <sheet name="R7-8月請求" sheetId="22" r:id="rId7"/>
    <sheet name="R7-7月請求" sheetId="21" r:id="rId8"/>
    <sheet name="R7-6月請求" sheetId="20" r:id="rId9"/>
    <sheet name="R7-5月請求" sheetId="19" r:id="rId10"/>
    <sheet name="R7-4月請求" sheetId="18" r:id="rId11"/>
  </sheets>
  <definedNames>
    <definedName name="_xlnm.Print_Area" localSheetId="0">工事台帳ＮＥＷ!$A$1:$J$298</definedName>
    <definedName name="_xlnm.Print_Area" localSheetId="1">請求入金確認表!$B$2:$C$2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7" i="17" l="1"/>
  <c r="P33" i="27"/>
  <c r="P34" i="27" s="1"/>
  <c r="U30" i="27"/>
  <c r="Q30" i="27"/>
  <c r="Q28" i="27"/>
  <c r="K28" i="27"/>
  <c r="Q27" i="27"/>
  <c r="K27" i="27"/>
  <c r="Q26" i="27"/>
  <c r="K26" i="27"/>
  <c r="Q25" i="27"/>
  <c r="K25" i="27"/>
  <c r="Q24" i="27"/>
  <c r="K24" i="27"/>
  <c r="Q23" i="27"/>
  <c r="K23" i="27"/>
  <c r="Q22" i="27"/>
  <c r="K22" i="27"/>
  <c r="Q21" i="27"/>
  <c r="K21" i="27"/>
  <c r="Q20" i="27"/>
  <c r="K20" i="27"/>
  <c r="Q19" i="27"/>
  <c r="K19" i="27"/>
  <c r="I219" i="17"/>
  <c r="D233" i="17"/>
  <c r="P34" i="26"/>
  <c r="P33" i="26"/>
  <c r="U30" i="26"/>
  <c r="Q30" i="26"/>
  <c r="Q28" i="26"/>
  <c r="K28" i="26"/>
  <c r="Q27" i="26"/>
  <c r="K27" i="26"/>
  <c r="Q26" i="26"/>
  <c r="K26" i="26"/>
  <c r="Q25" i="26"/>
  <c r="K25" i="26"/>
  <c r="Q24" i="26"/>
  <c r="K24" i="26"/>
  <c r="Q23" i="26"/>
  <c r="K23" i="26"/>
  <c r="Q22" i="26"/>
  <c r="K22" i="26"/>
  <c r="Q21" i="26"/>
  <c r="K21" i="26"/>
  <c r="Q20" i="26"/>
  <c r="K20" i="26"/>
  <c r="Q19" i="26"/>
  <c r="K19" i="26"/>
  <c r="D210" i="17"/>
  <c r="P34" i="24"/>
  <c r="P33" i="24"/>
  <c r="U30" i="24"/>
  <c r="Q30" i="24"/>
  <c r="Q28" i="24"/>
  <c r="K28" i="24"/>
  <c r="Q27" i="24"/>
  <c r="K27" i="24"/>
  <c r="Q26" i="24"/>
  <c r="K26" i="24"/>
  <c r="Q25" i="24"/>
  <c r="K25" i="24"/>
  <c r="Q24" i="24"/>
  <c r="K24" i="24"/>
  <c r="Q23" i="24"/>
  <c r="K23" i="24"/>
  <c r="Q22" i="24"/>
  <c r="K22" i="24"/>
  <c r="Q21" i="24"/>
  <c r="K21" i="24"/>
  <c r="Q20" i="24"/>
  <c r="K20" i="24"/>
  <c r="Q19" i="24"/>
  <c r="K19" i="24"/>
  <c r="D187" i="17"/>
  <c r="P33" i="23"/>
  <c r="P34" i="23" s="1"/>
  <c r="Q31" i="23"/>
  <c r="Q32" i="23" s="1"/>
  <c r="U30" i="23"/>
  <c r="Q30" i="23"/>
  <c r="Q28" i="23"/>
  <c r="K28" i="23"/>
  <c r="Q27" i="23"/>
  <c r="K27" i="23"/>
  <c r="Q26" i="23"/>
  <c r="K26" i="23"/>
  <c r="Q25" i="23"/>
  <c r="K25" i="23"/>
  <c r="Q24" i="23"/>
  <c r="K24" i="23"/>
  <c r="Q23" i="23"/>
  <c r="K23" i="23"/>
  <c r="Q22" i="23"/>
  <c r="K22" i="23"/>
  <c r="Q21" i="23"/>
  <c r="K21" i="23"/>
  <c r="Q20" i="23"/>
  <c r="K20" i="23"/>
  <c r="Q19" i="23"/>
  <c r="K19" i="23"/>
  <c r="Q31" i="27" l="1"/>
  <c r="Q32" i="27" s="1"/>
  <c r="U31" i="27"/>
  <c r="U32" i="27" s="1"/>
  <c r="Q31" i="26"/>
  <c r="Q32" i="26" s="1"/>
  <c r="U31" i="26"/>
  <c r="U32" i="26" s="1"/>
  <c r="Q31" i="24"/>
  <c r="Q32" i="24" s="1"/>
  <c r="P35" i="24" s="1"/>
  <c r="E12" i="24" s="1"/>
  <c r="U31" i="24"/>
  <c r="U32" i="24" s="1"/>
  <c r="U31" i="23"/>
  <c r="U32" i="23" s="1"/>
  <c r="P35" i="23" s="1"/>
  <c r="E12" i="23" s="1"/>
  <c r="P35" i="27" l="1"/>
  <c r="E12" i="27" s="1"/>
  <c r="P35" i="26"/>
  <c r="E12" i="26" s="1"/>
  <c r="P33" i="22"/>
  <c r="P34" i="22" s="1"/>
  <c r="U31" i="22"/>
  <c r="Q31" i="22"/>
  <c r="Q32" i="22" s="1"/>
  <c r="P35" i="22" s="1"/>
  <c r="E12" i="22" s="1"/>
  <c r="U30" i="22"/>
  <c r="U32" i="22" s="1"/>
  <c r="Q30" i="22"/>
  <c r="Q28" i="22"/>
  <c r="K28" i="22"/>
  <c r="Q27" i="22"/>
  <c r="K27" i="22"/>
  <c r="Q26" i="22"/>
  <c r="K26" i="22"/>
  <c r="Q25" i="22"/>
  <c r="K25" i="22"/>
  <c r="Q24" i="22"/>
  <c r="K24" i="22"/>
  <c r="Q23" i="22"/>
  <c r="K23" i="22"/>
  <c r="Q22" i="22"/>
  <c r="K22" i="22"/>
  <c r="Q21" i="22"/>
  <c r="K21" i="22"/>
  <c r="Q20" i="22"/>
  <c r="K20" i="22"/>
  <c r="Q19" i="22"/>
  <c r="K19" i="22"/>
  <c r="P33" i="21" l="1"/>
  <c r="P34" i="21" s="1"/>
  <c r="Q31" i="21"/>
  <c r="U30" i="21"/>
  <c r="Q30" i="21"/>
  <c r="Q32" i="21" s="1"/>
  <c r="Q28" i="21"/>
  <c r="K28" i="21"/>
  <c r="Q27" i="21"/>
  <c r="K27" i="21"/>
  <c r="Q26" i="21"/>
  <c r="K26" i="21"/>
  <c r="Q25" i="21"/>
  <c r="K25" i="21"/>
  <c r="Q24" i="21"/>
  <c r="K24" i="21"/>
  <c r="Q23" i="21"/>
  <c r="K23" i="21"/>
  <c r="Q22" i="21"/>
  <c r="K22" i="21"/>
  <c r="Q21" i="21"/>
  <c r="K21" i="21"/>
  <c r="Q20" i="21"/>
  <c r="K20" i="21"/>
  <c r="Q19" i="21"/>
  <c r="K19" i="21"/>
  <c r="U31" i="21" l="1"/>
  <c r="U32" i="21" s="1"/>
  <c r="P35" i="21" s="1"/>
  <c r="E12" i="21" s="1"/>
  <c r="P33" i="20" l="1"/>
  <c r="P34" i="20" s="1"/>
  <c r="U31" i="20"/>
  <c r="U32" i="20" s="1"/>
  <c r="Q31" i="20"/>
  <c r="Q32" i="20" s="1"/>
  <c r="P35" i="20" s="1"/>
  <c r="E12" i="20" s="1"/>
  <c r="Q19" i="20"/>
  <c r="K19" i="20"/>
  <c r="P33" i="19" l="1"/>
  <c r="P34" i="19" s="1"/>
  <c r="U31" i="19"/>
  <c r="U32" i="19" s="1"/>
  <c r="Q31" i="19"/>
  <c r="Q32" i="19" s="1"/>
  <c r="P35" i="19" s="1"/>
  <c r="E12" i="19" s="1"/>
  <c r="Q19" i="19"/>
  <c r="K19" i="19"/>
  <c r="P33" i="18" l="1"/>
  <c r="P34" i="18" s="1"/>
  <c r="U31" i="18"/>
  <c r="U32" i="18" s="1"/>
  <c r="Q31" i="18"/>
  <c r="Q32" i="18" s="1"/>
  <c r="P35" i="18" l="1"/>
  <c r="E12" i="18" s="1"/>
  <c r="D167" i="17"/>
  <c r="D147" i="17"/>
  <c r="D42" i="17"/>
  <c r="D60" i="17"/>
  <c r="D76" i="17"/>
  <c r="D95" i="17"/>
  <c r="D109" i="17"/>
  <c r="D129" i="17"/>
  <c r="G294" i="17"/>
  <c r="C294" i="17"/>
  <c r="G28" i="17"/>
  <c r="G27" i="17"/>
  <c r="E11" i="17"/>
  <c r="E12" i="17"/>
  <c r="E13" i="17"/>
  <c r="E14" i="17"/>
  <c r="E10" i="17"/>
  <c r="C15" i="17"/>
  <c r="J25" i="17" s="1"/>
  <c r="Z6" i="1"/>
  <c r="AA6" i="1"/>
  <c r="C17" i="1"/>
  <c r="D17" i="1"/>
  <c r="E17" i="1"/>
  <c r="B17" i="1"/>
  <c r="B18" i="1"/>
  <c r="D18" i="1"/>
  <c r="Z337" i="1"/>
  <c r="Z336" i="1"/>
  <c r="Z335" i="1"/>
  <c r="Z334" i="1"/>
  <c r="Z329" i="1"/>
  <c r="Z328" i="1"/>
  <c r="Z327" i="1"/>
  <c r="Z326" i="1"/>
  <c r="Z321" i="1"/>
  <c r="Z320" i="1"/>
  <c r="Z319" i="1"/>
  <c r="Z318" i="1"/>
  <c r="Z313" i="1"/>
  <c r="Z312" i="1"/>
  <c r="Z311" i="1"/>
  <c r="Z310" i="1"/>
  <c r="Z305" i="1"/>
  <c r="Z304" i="1"/>
  <c r="Z303" i="1"/>
  <c r="Z302" i="1"/>
  <c r="Z297" i="1"/>
  <c r="Z296" i="1"/>
  <c r="Z295" i="1"/>
  <c r="Z294" i="1"/>
  <c r="Z289" i="1"/>
  <c r="Z288" i="1"/>
  <c r="Z287" i="1"/>
  <c r="Z286" i="1"/>
  <c r="Z281" i="1"/>
  <c r="Z280" i="1"/>
  <c r="Z279" i="1"/>
  <c r="Z278" i="1"/>
  <c r="Z273" i="1"/>
  <c r="Z272" i="1"/>
  <c r="Z271" i="1"/>
  <c r="Z270" i="1"/>
  <c r="Z265" i="1"/>
  <c r="Z264" i="1"/>
  <c r="Z263" i="1"/>
  <c r="Z262" i="1"/>
  <c r="Z257" i="1"/>
  <c r="Z256" i="1"/>
  <c r="Z255" i="1"/>
  <c r="Z254" i="1"/>
  <c r="Z249" i="1"/>
  <c r="Z248" i="1"/>
  <c r="Z247" i="1"/>
  <c r="Z246" i="1"/>
  <c r="Z241" i="1"/>
  <c r="Z240" i="1"/>
  <c r="Z239" i="1"/>
  <c r="Z238" i="1"/>
  <c r="Z233" i="1"/>
  <c r="Z232" i="1"/>
  <c r="Z231" i="1"/>
  <c r="Z230" i="1"/>
  <c r="Z225" i="1"/>
  <c r="Z224" i="1"/>
  <c r="Z223" i="1"/>
  <c r="Z222" i="1"/>
  <c r="Z217" i="1"/>
  <c r="Z216" i="1"/>
  <c r="Z215" i="1"/>
  <c r="Z214" i="1"/>
  <c r="Z209" i="1"/>
  <c r="Z208" i="1"/>
  <c r="Z207" i="1"/>
  <c r="Z206" i="1"/>
  <c r="Z201" i="1"/>
  <c r="Z200" i="1"/>
  <c r="Z199" i="1"/>
  <c r="Z198" i="1"/>
  <c r="Z193" i="1"/>
  <c r="Z192" i="1"/>
  <c r="Z191" i="1"/>
  <c r="Z190" i="1"/>
  <c r="Z185" i="1"/>
  <c r="Z184" i="1"/>
  <c r="Z183" i="1"/>
  <c r="Z182" i="1"/>
  <c r="Z177" i="1"/>
  <c r="Z176" i="1"/>
  <c r="Z175" i="1"/>
  <c r="Z174" i="1"/>
  <c r="Z169" i="1"/>
  <c r="Z168" i="1"/>
  <c r="Z167" i="1"/>
  <c r="Z166" i="1"/>
  <c r="Z161" i="1"/>
  <c r="Z160" i="1"/>
  <c r="Z159" i="1"/>
  <c r="Z158" i="1"/>
  <c r="Z153" i="1"/>
  <c r="Z152" i="1"/>
  <c r="Z151" i="1"/>
  <c r="Z150" i="1"/>
  <c r="Z145" i="1"/>
  <c r="Z144" i="1"/>
  <c r="Z143" i="1"/>
  <c r="Z142" i="1"/>
  <c r="Z137" i="1"/>
  <c r="Z136" i="1"/>
  <c r="Z135" i="1"/>
  <c r="Z134" i="1"/>
  <c r="Z129" i="1"/>
  <c r="Z128" i="1"/>
  <c r="Z127" i="1"/>
  <c r="Z126" i="1"/>
  <c r="Z121" i="1"/>
  <c r="Z120" i="1"/>
  <c r="Z119" i="1"/>
  <c r="Z118" i="1"/>
  <c r="Z113" i="1"/>
  <c r="Z112" i="1"/>
  <c r="Z111" i="1"/>
  <c r="Z110" i="1"/>
  <c r="Z105" i="1"/>
  <c r="Z104" i="1"/>
  <c r="Z103" i="1"/>
  <c r="Z102" i="1"/>
  <c r="Z97" i="1"/>
  <c r="Z96" i="1"/>
  <c r="Z95" i="1"/>
  <c r="Z94" i="1"/>
  <c r="Z89" i="1"/>
  <c r="Z88" i="1"/>
  <c r="Z87" i="1"/>
  <c r="Z86" i="1"/>
  <c r="Z81" i="1"/>
  <c r="Z80" i="1"/>
  <c r="Z79" i="1"/>
  <c r="Z78" i="1"/>
  <c r="Z73" i="1"/>
  <c r="Z72" i="1"/>
  <c r="Z71" i="1"/>
  <c r="Z70" i="1"/>
  <c r="Z65" i="1"/>
  <c r="Z64" i="1"/>
  <c r="Z63" i="1"/>
  <c r="Z62" i="1"/>
  <c r="Z57" i="1"/>
  <c r="Z56" i="1"/>
  <c r="Z55" i="1"/>
  <c r="Z54" i="1"/>
  <c r="Z49" i="1"/>
  <c r="Z48" i="1"/>
  <c r="Z47" i="1"/>
  <c r="Z46" i="1"/>
  <c r="Z41" i="1"/>
  <c r="Z40" i="1"/>
  <c r="Z39" i="1"/>
  <c r="Z38" i="1"/>
  <c r="Z33" i="1"/>
  <c r="Z32" i="1"/>
  <c r="Z31" i="1"/>
  <c r="Z30" i="1"/>
  <c r="Z23" i="1"/>
  <c r="Z24" i="1"/>
  <c r="Z25" i="1"/>
  <c r="Z22" i="1"/>
  <c r="X12" i="1"/>
  <c r="V12" i="1"/>
  <c r="Z9" i="1"/>
  <c r="Z8" i="1"/>
  <c r="Z7" i="1"/>
  <c r="Y338" i="1"/>
  <c r="X338" i="1"/>
  <c r="Y330" i="1"/>
  <c r="X330" i="1"/>
  <c r="Y322" i="1"/>
  <c r="X322" i="1"/>
  <c r="Y314" i="1"/>
  <c r="X314" i="1"/>
  <c r="Y306" i="1"/>
  <c r="X306" i="1"/>
  <c r="Y298" i="1"/>
  <c r="X298" i="1"/>
  <c r="Y290" i="1"/>
  <c r="X290" i="1"/>
  <c r="Y282" i="1"/>
  <c r="X282" i="1"/>
  <c r="Y274" i="1"/>
  <c r="X274" i="1"/>
  <c r="Y266" i="1"/>
  <c r="X266" i="1"/>
  <c r="Y258" i="1"/>
  <c r="X258" i="1"/>
  <c r="Y250" i="1"/>
  <c r="X250" i="1"/>
  <c r="Y242" i="1"/>
  <c r="X242" i="1"/>
  <c r="Y234" i="1"/>
  <c r="X234" i="1"/>
  <c r="Y226" i="1"/>
  <c r="X226" i="1"/>
  <c r="Y218" i="1"/>
  <c r="X218" i="1"/>
  <c r="Y210" i="1"/>
  <c r="X210" i="1"/>
  <c r="Y202" i="1"/>
  <c r="X202" i="1"/>
  <c r="Y194" i="1"/>
  <c r="X194" i="1"/>
  <c r="Y186" i="1"/>
  <c r="X186" i="1"/>
  <c r="Y178" i="1"/>
  <c r="X178" i="1"/>
  <c r="Y170" i="1"/>
  <c r="X170" i="1"/>
  <c r="Y162" i="1"/>
  <c r="X162" i="1"/>
  <c r="Y154" i="1"/>
  <c r="X154" i="1"/>
  <c r="Y146" i="1"/>
  <c r="X146" i="1"/>
  <c r="Y138" i="1"/>
  <c r="X138" i="1"/>
  <c r="Y130" i="1"/>
  <c r="X130" i="1"/>
  <c r="Y122" i="1"/>
  <c r="X122" i="1"/>
  <c r="Y114" i="1"/>
  <c r="X114" i="1"/>
  <c r="Y106" i="1"/>
  <c r="X106" i="1"/>
  <c r="Y98" i="1"/>
  <c r="X98" i="1"/>
  <c r="Y90" i="1"/>
  <c r="X90" i="1"/>
  <c r="Y82" i="1"/>
  <c r="X82" i="1"/>
  <c r="Y74" i="1"/>
  <c r="X74" i="1"/>
  <c r="Y66" i="1"/>
  <c r="X66" i="1"/>
  <c r="Y58" i="1"/>
  <c r="X58" i="1"/>
  <c r="Y50" i="1"/>
  <c r="X50" i="1"/>
  <c r="Y42" i="1"/>
  <c r="X42" i="1"/>
  <c r="Y34" i="1"/>
  <c r="X34" i="1"/>
  <c r="Y26" i="1"/>
  <c r="X26" i="1"/>
  <c r="Y12" i="1"/>
  <c r="Y10" i="1"/>
  <c r="X10" i="1"/>
  <c r="Z4" i="1"/>
  <c r="Z5" i="1"/>
  <c r="AA9" i="1"/>
  <c r="U10" i="1"/>
  <c r="X17" i="1"/>
  <c r="Y17" i="1"/>
  <c r="X211" i="1"/>
  <c r="X27" i="1"/>
  <c r="X59" i="1"/>
  <c r="X91" i="1"/>
  <c r="X123" i="1"/>
  <c r="X155" i="1"/>
  <c r="X219" i="1"/>
  <c r="X99" i="1"/>
  <c r="X43" i="1"/>
  <c r="X107" i="1"/>
  <c r="X139" i="1"/>
  <c r="X51" i="1"/>
  <c r="X115" i="1"/>
  <c r="X243" i="1"/>
  <c r="X283" i="1"/>
  <c r="X195" i="1"/>
  <c r="X227" i="1"/>
  <c r="X291" i="1"/>
  <c r="X235" i="1"/>
  <c r="X267" i="1"/>
  <c r="X83" i="1"/>
  <c r="X171" i="1"/>
  <c r="X203" i="1"/>
  <c r="X259" i="1"/>
  <c r="X315" i="1"/>
  <c r="X147" i="1"/>
  <c r="X323" i="1"/>
  <c r="X179" i="1"/>
  <c r="X67" i="1"/>
  <c r="X187" i="1"/>
  <c r="X275" i="1"/>
  <c r="X299" i="1"/>
  <c r="X331" i="1"/>
  <c r="X131" i="1"/>
  <c r="X75" i="1"/>
  <c r="X251" i="1"/>
  <c r="X339" i="1"/>
  <c r="X163" i="1"/>
  <c r="X307" i="1"/>
  <c r="X35" i="1"/>
  <c r="W338" i="1"/>
  <c r="V338" i="1"/>
  <c r="W330" i="1"/>
  <c r="V330" i="1"/>
  <c r="W322" i="1"/>
  <c r="V322" i="1"/>
  <c r="W314" i="1"/>
  <c r="V314" i="1"/>
  <c r="W306" i="1"/>
  <c r="V306" i="1"/>
  <c r="W298" i="1"/>
  <c r="V298" i="1"/>
  <c r="W290" i="1"/>
  <c r="V290" i="1"/>
  <c r="W282" i="1"/>
  <c r="V282" i="1"/>
  <c r="W274" i="1"/>
  <c r="V274" i="1"/>
  <c r="W266" i="1"/>
  <c r="V266" i="1"/>
  <c r="W258" i="1"/>
  <c r="V258" i="1"/>
  <c r="W250" i="1"/>
  <c r="V250" i="1"/>
  <c r="W242" i="1"/>
  <c r="V242" i="1"/>
  <c r="W234" i="1"/>
  <c r="V234" i="1"/>
  <c r="W226" i="1"/>
  <c r="V226" i="1"/>
  <c r="W218" i="1"/>
  <c r="V218" i="1"/>
  <c r="W210" i="1"/>
  <c r="V210" i="1"/>
  <c r="W202" i="1"/>
  <c r="V202" i="1"/>
  <c r="W194" i="1"/>
  <c r="V194" i="1"/>
  <c r="W186" i="1"/>
  <c r="V186" i="1"/>
  <c r="W178" i="1"/>
  <c r="V178" i="1"/>
  <c r="W170" i="1"/>
  <c r="V170" i="1"/>
  <c r="W162" i="1"/>
  <c r="V162" i="1"/>
  <c r="W154" i="1"/>
  <c r="V154" i="1"/>
  <c r="W146" i="1"/>
  <c r="V146" i="1"/>
  <c r="W138" i="1"/>
  <c r="V138" i="1"/>
  <c r="W130" i="1"/>
  <c r="V130" i="1"/>
  <c r="W122" i="1"/>
  <c r="V122" i="1"/>
  <c r="W114" i="1"/>
  <c r="V114" i="1"/>
  <c r="W106" i="1"/>
  <c r="V106" i="1"/>
  <c r="W98" i="1"/>
  <c r="V98" i="1"/>
  <c r="W90" i="1"/>
  <c r="V90" i="1"/>
  <c r="W82" i="1"/>
  <c r="V82" i="1"/>
  <c r="W74" i="1"/>
  <c r="V74" i="1"/>
  <c r="W66" i="1"/>
  <c r="V66" i="1"/>
  <c r="W58" i="1"/>
  <c r="V58" i="1"/>
  <c r="W50" i="1"/>
  <c r="V50" i="1"/>
  <c r="W42" i="1"/>
  <c r="V42" i="1"/>
  <c r="W34" i="1"/>
  <c r="V34" i="1"/>
  <c r="W26" i="1"/>
  <c r="V26" i="1"/>
  <c r="W12" i="1"/>
  <c r="W10" i="1"/>
  <c r="V10" i="1"/>
  <c r="X18" i="1"/>
  <c r="V131" i="1"/>
  <c r="V17" i="1"/>
  <c r="V203" i="1"/>
  <c r="W17" i="1"/>
  <c r="V179" i="1"/>
  <c r="V211" i="1"/>
  <c r="V227" i="1"/>
  <c r="V243" i="1"/>
  <c r="V259" i="1"/>
  <c r="V291" i="1"/>
  <c r="V323" i="1"/>
  <c r="V35" i="1"/>
  <c r="V67" i="1"/>
  <c r="V99" i="1"/>
  <c r="V251" i="1"/>
  <c r="V283" i="1"/>
  <c r="V315" i="1"/>
  <c r="V163" i="1"/>
  <c r="V195" i="1"/>
  <c r="V147" i="1"/>
  <c r="V235" i="1"/>
  <c r="V267" i="1"/>
  <c r="V299" i="1"/>
  <c r="V27" i="1"/>
  <c r="V59" i="1"/>
  <c r="V219" i="1"/>
  <c r="V83" i="1"/>
  <c r="V139" i="1"/>
  <c r="V339" i="1"/>
  <c r="V115" i="1"/>
  <c r="V171" i="1"/>
  <c r="V123" i="1"/>
  <c r="V43" i="1"/>
  <c r="V155" i="1"/>
  <c r="V91" i="1"/>
  <c r="V75" i="1"/>
  <c r="V187" i="1"/>
  <c r="V275" i="1"/>
  <c r="V331" i="1"/>
  <c r="V51" i="1"/>
  <c r="V107" i="1"/>
  <c r="V307" i="1"/>
  <c r="D339" i="1"/>
  <c r="B339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AA335" i="1"/>
  <c r="D331" i="1"/>
  <c r="B331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D323" i="1"/>
  <c r="B323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AA319" i="1"/>
  <c r="D315" i="1"/>
  <c r="B315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AA311" i="1"/>
  <c r="D307" i="1"/>
  <c r="B307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AA303" i="1"/>
  <c r="D299" i="1"/>
  <c r="B299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AA295" i="1"/>
  <c r="D291" i="1"/>
  <c r="B291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AA287" i="1"/>
  <c r="D283" i="1"/>
  <c r="B283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AA279" i="1"/>
  <c r="D275" i="1"/>
  <c r="B275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AA271" i="1"/>
  <c r="D267" i="1"/>
  <c r="B267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AA263" i="1"/>
  <c r="D259" i="1"/>
  <c r="B259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AA255" i="1"/>
  <c r="D251" i="1"/>
  <c r="B251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AA247" i="1"/>
  <c r="D243" i="1"/>
  <c r="B243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AA239" i="1"/>
  <c r="D235" i="1"/>
  <c r="B235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AA231" i="1"/>
  <c r="D227" i="1"/>
  <c r="B227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AA223" i="1"/>
  <c r="D219" i="1"/>
  <c r="B219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AA215" i="1"/>
  <c r="D211" i="1"/>
  <c r="B211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AA207" i="1"/>
  <c r="D203" i="1"/>
  <c r="B203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AA199" i="1"/>
  <c r="D195" i="1"/>
  <c r="B195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AA191" i="1"/>
  <c r="D187" i="1"/>
  <c r="B187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AA183" i="1"/>
  <c r="D179" i="1"/>
  <c r="B179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AA175" i="1"/>
  <c r="D171" i="1"/>
  <c r="B171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AA167" i="1"/>
  <c r="D163" i="1"/>
  <c r="B163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AA159" i="1"/>
  <c r="D155" i="1"/>
  <c r="B155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AA151" i="1"/>
  <c r="D147" i="1"/>
  <c r="B147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AA143" i="1"/>
  <c r="J155" i="1"/>
  <c r="T171" i="1"/>
  <c r="H203" i="1"/>
  <c r="P203" i="1"/>
  <c r="L235" i="1"/>
  <c r="T235" i="1"/>
  <c r="T299" i="1"/>
  <c r="L155" i="1"/>
  <c r="N171" i="1"/>
  <c r="H187" i="1"/>
  <c r="P187" i="1"/>
  <c r="R203" i="1"/>
  <c r="H251" i="1"/>
  <c r="R267" i="1"/>
  <c r="T251" i="1"/>
  <c r="J299" i="1"/>
  <c r="R299" i="1"/>
  <c r="Z154" i="1"/>
  <c r="N155" i="1"/>
  <c r="Z218" i="1"/>
  <c r="AA218" i="1"/>
  <c r="T267" i="1"/>
  <c r="Z282" i="1"/>
  <c r="N283" i="1"/>
  <c r="H299" i="1"/>
  <c r="P299" i="1"/>
  <c r="H195" i="1"/>
  <c r="P195" i="1"/>
  <c r="J211" i="1"/>
  <c r="R211" i="1"/>
  <c r="Z186" i="1"/>
  <c r="AA186" i="1"/>
  <c r="Z250" i="1"/>
  <c r="AA250" i="1"/>
  <c r="V18" i="1"/>
  <c r="T307" i="1"/>
  <c r="Z322" i="1"/>
  <c r="AA322" i="1"/>
  <c r="N323" i="1"/>
  <c r="Z146" i="1"/>
  <c r="AA146" i="1"/>
  <c r="Z178" i="1"/>
  <c r="AA178" i="1"/>
  <c r="Z210" i="1"/>
  <c r="Z242" i="1"/>
  <c r="AA242" i="1"/>
  <c r="Z274" i="1"/>
  <c r="AA274" i="1"/>
  <c r="Z314" i="1"/>
  <c r="AA314" i="1"/>
  <c r="Z202" i="1"/>
  <c r="Z234" i="1"/>
  <c r="AA234" i="1"/>
  <c r="Z266" i="1"/>
  <c r="AA266" i="1"/>
  <c r="Z298" i="1"/>
  <c r="AA298" i="1"/>
  <c r="Z306" i="1"/>
  <c r="R307" i="1"/>
  <c r="J331" i="1"/>
  <c r="Z170" i="1"/>
  <c r="AA170" i="1"/>
  <c r="H147" i="1"/>
  <c r="P147" i="1"/>
  <c r="Z162" i="1"/>
  <c r="AA162" i="1"/>
  <c r="N163" i="1"/>
  <c r="H179" i="1"/>
  <c r="L179" i="1"/>
  <c r="P179" i="1"/>
  <c r="T179" i="1"/>
  <c r="Z194" i="1"/>
  <c r="J195" i="1"/>
  <c r="R195" i="1"/>
  <c r="H211" i="1"/>
  <c r="P211" i="1"/>
  <c r="Z226" i="1"/>
  <c r="AA226" i="1"/>
  <c r="H243" i="1"/>
  <c r="P243" i="1"/>
  <c r="Z258" i="1"/>
  <c r="AA258" i="1"/>
  <c r="H275" i="1"/>
  <c r="L275" i="1"/>
  <c r="P275" i="1"/>
  <c r="Z290" i="1"/>
  <c r="AA290" i="1"/>
  <c r="Z330" i="1"/>
  <c r="Z338" i="1"/>
  <c r="AA338" i="1"/>
  <c r="T243" i="1"/>
  <c r="R251" i="1"/>
  <c r="H259" i="1"/>
  <c r="J275" i="1"/>
  <c r="T291" i="1"/>
  <c r="J315" i="1"/>
  <c r="R315" i="1"/>
  <c r="J339" i="1"/>
  <c r="H323" i="1"/>
  <c r="P219" i="1"/>
  <c r="H219" i="1"/>
  <c r="N147" i="1"/>
  <c r="H163" i="1"/>
  <c r="P163" i="1"/>
  <c r="J179" i="1"/>
  <c r="R179" i="1"/>
  <c r="T195" i="1"/>
  <c r="N211" i="1"/>
  <c r="R243" i="1"/>
  <c r="J283" i="1"/>
  <c r="N339" i="1"/>
  <c r="P251" i="1"/>
  <c r="J267" i="1"/>
  <c r="L243" i="1"/>
  <c r="J259" i="1"/>
  <c r="L331" i="1"/>
  <c r="J163" i="1"/>
  <c r="R163" i="1"/>
  <c r="J203" i="1"/>
  <c r="L219" i="1"/>
  <c r="T219" i="1"/>
  <c r="J227" i="1"/>
  <c r="R227" i="1"/>
  <c r="T275" i="1"/>
  <c r="H283" i="1"/>
  <c r="P323" i="1"/>
  <c r="R155" i="1"/>
  <c r="R259" i="1"/>
  <c r="L163" i="1"/>
  <c r="T163" i="1"/>
  <c r="N219" i="1"/>
  <c r="H235" i="1"/>
  <c r="P235" i="1"/>
  <c r="J251" i="1"/>
  <c r="N291" i="1"/>
  <c r="L339" i="1"/>
  <c r="J171" i="1"/>
  <c r="N259" i="1"/>
  <c r="H331" i="1"/>
  <c r="P331" i="1"/>
  <c r="H291" i="1"/>
  <c r="R331" i="1"/>
  <c r="N251" i="1"/>
  <c r="P259" i="1"/>
  <c r="N267" i="1"/>
  <c r="J307" i="1"/>
  <c r="L323" i="1"/>
  <c r="T323" i="1"/>
  <c r="L147" i="1"/>
  <c r="T147" i="1"/>
  <c r="N187" i="1"/>
  <c r="L203" i="1"/>
  <c r="T203" i="1"/>
  <c r="J219" i="1"/>
  <c r="R219" i="1"/>
  <c r="N227" i="1"/>
  <c r="L267" i="1"/>
  <c r="R283" i="1"/>
  <c r="L291" i="1"/>
  <c r="F315" i="1"/>
  <c r="N315" i="1"/>
  <c r="J323" i="1"/>
  <c r="R323" i="1"/>
  <c r="R339" i="1"/>
  <c r="F267" i="1"/>
  <c r="T155" i="1"/>
  <c r="H171" i="1"/>
  <c r="P171" i="1"/>
  <c r="N203" i="1"/>
  <c r="H227" i="1"/>
  <c r="P227" i="1"/>
  <c r="J235" i="1"/>
  <c r="R235" i="1"/>
  <c r="F243" i="1"/>
  <c r="N243" i="1"/>
  <c r="L259" i="1"/>
  <c r="T259" i="1"/>
  <c r="R275" i="1"/>
  <c r="L283" i="1"/>
  <c r="T283" i="1"/>
  <c r="L307" i="1"/>
  <c r="H315" i="1"/>
  <c r="P315" i="1"/>
  <c r="T339" i="1"/>
  <c r="F147" i="1"/>
  <c r="R171" i="1"/>
  <c r="N179" i="1"/>
  <c r="H267" i="1"/>
  <c r="P267" i="1"/>
  <c r="F291" i="1"/>
  <c r="F307" i="1"/>
  <c r="AA306" i="1"/>
  <c r="N307" i="1"/>
  <c r="AA282" i="1"/>
  <c r="P291" i="1"/>
  <c r="F323" i="1"/>
  <c r="F155" i="1"/>
  <c r="AA154" i="1"/>
  <c r="J147" i="1"/>
  <c r="R147" i="1"/>
  <c r="J187" i="1"/>
  <c r="R187" i="1"/>
  <c r="L195" i="1"/>
  <c r="L211" i="1"/>
  <c r="T211" i="1"/>
  <c r="N235" i="1"/>
  <c r="L251" i="1"/>
  <c r="J291" i="1"/>
  <c r="R291" i="1"/>
  <c r="L299" i="1"/>
  <c r="H307" i="1"/>
  <c r="P307" i="1"/>
  <c r="T331" i="1"/>
  <c r="H155" i="1"/>
  <c r="P155" i="1"/>
  <c r="L171" i="1"/>
  <c r="L187" i="1"/>
  <c r="T187" i="1"/>
  <c r="AA194" i="1"/>
  <c r="N195" i="1"/>
  <c r="L227" i="1"/>
  <c r="T227" i="1"/>
  <c r="J243" i="1"/>
  <c r="N275" i="1"/>
  <c r="P283" i="1"/>
  <c r="L315" i="1"/>
  <c r="T315" i="1"/>
  <c r="H339" i="1"/>
  <c r="P339" i="1"/>
  <c r="AA210" i="1"/>
  <c r="N299" i="1"/>
  <c r="F331" i="1"/>
  <c r="AA330" i="1"/>
  <c r="N331" i="1"/>
  <c r="F339" i="1"/>
  <c r="F299" i="1"/>
  <c r="F275" i="1"/>
  <c r="AA202" i="1"/>
  <c r="AA327" i="1"/>
  <c r="F283" i="1"/>
  <c r="F259" i="1"/>
  <c r="F251" i="1"/>
  <c r="F219" i="1"/>
  <c r="F227" i="1"/>
  <c r="F235" i="1"/>
  <c r="F195" i="1"/>
  <c r="F203" i="1"/>
  <c r="F211" i="1"/>
  <c r="F171" i="1"/>
  <c r="F179" i="1"/>
  <c r="F187" i="1"/>
  <c r="F163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F138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F130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F122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F114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F106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F98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F90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F82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F74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F66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F58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F50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F42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F34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H26" i="1"/>
  <c r="G26" i="1"/>
  <c r="F26" i="1"/>
  <c r="F17" i="1"/>
  <c r="Q17" i="1"/>
  <c r="I17" i="1"/>
  <c r="U17" i="1"/>
  <c r="M17" i="1"/>
  <c r="L17" i="1"/>
  <c r="T17" i="1"/>
  <c r="P17" i="1"/>
  <c r="P18" i="1"/>
  <c r="R17" i="1"/>
  <c r="J17" i="1"/>
  <c r="G17" i="1"/>
  <c r="F18" i="1"/>
  <c r="O17" i="1"/>
  <c r="H17" i="1"/>
  <c r="N17" i="1"/>
  <c r="S17" i="1"/>
  <c r="K17" i="1"/>
  <c r="Z42" i="1"/>
  <c r="Z50" i="1"/>
  <c r="Z58" i="1"/>
  <c r="Z66" i="1"/>
  <c r="AA66" i="1"/>
  <c r="Z74" i="1"/>
  <c r="Z82" i="1"/>
  <c r="Z90" i="1"/>
  <c r="AA90" i="1"/>
  <c r="Z98" i="1"/>
  <c r="Z106" i="1"/>
  <c r="Z114" i="1"/>
  <c r="Z122" i="1"/>
  <c r="Z130" i="1"/>
  <c r="AA130" i="1"/>
  <c r="Z138" i="1"/>
  <c r="AA138" i="1"/>
  <c r="Z26" i="1"/>
  <c r="Z34" i="1"/>
  <c r="P139" i="1"/>
  <c r="H139" i="1"/>
  <c r="D139" i="1"/>
  <c r="B139" i="1"/>
  <c r="T139" i="1"/>
  <c r="R139" i="1"/>
  <c r="N139" i="1"/>
  <c r="L139" i="1"/>
  <c r="J139" i="1"/>
  <c r="AA135" i="1"/>
  <c r="P131" i="1"/>
  <c r="H131" i="1"/>
  <c r="D131" i="1"/>
  <c r="B131" i="1"/>
  <c r="T131" i="1"/>
  <c r="R131" i="1"/>
  <c r="N131" i="1"/>
  <c r="L131" i="1"/>
  <c r="J131" i="1"/>
  <c r="AA127" i="1"/>
  <c r="P123" i="1"/>
  <c r="H123" i="1"/>
  <c r="D123" i="1"/>
  <c r="B123" i="1"/>
  <c r="T123" i="1"/>
  <c r="R123" i="1"/>
  <c r="N123" i="1"/>
  <c r="L123" i="1"/>
  <c r="J123" i="1"/>
  <c r="AA119" i="1"/>
  <c r="H115" i="1"/>
  <c r="D115" i="1"/>
  <c r="B115" i="1"/>
  <c r="T115" i="1"/>
  <c r="R115" i="1"/>
  <c r="P115" i="1"/>
  <c r="N115" i="1"/>
  <c r="L115" i="1"/>
  <c r="J115" i="1"/>
  <c r="AA111" i="1"/>
  <c r="D107" i="1"/>
  <c r="B107" i="1"/>
  <c r="T107" i="1"/>
  <c r="R107" i="1"/>
  <c r="P107" i="1"/>
  <c r="N107" i="1"/>
  <c r="L107" i="1"/>
  <c r="J107" i="1"/>
  <c r="H107" i="1"/>
  <c r="AA103" i="1"/>
  <c r="P99" i="1"/>
  <c r="H99" i="1"/>
  <c r="D99" i="1"/>
  <c r="B99" i="1"/>
  <c r="T99" i="1"/>
  <c r="R99" i="1"/>
  <c r="N99" i="1"/>
  <c r="L99" i="1"/>
  <c r="J99" i="1"/>
  <c r="AA95" i="1"/>
  <c r="P91" i="1"/>
  <c r="H91" i="1"/>
  <c r="D91" i="1"/>
  <c r="B91" i="1"/>
  <c r="T91" i="1"/>
  <c r="R91" i="1"/>
  <c r="N91" i="1"/>
  <c r="L91" i="1"/>
  <c r="J91" i="1"/>
  <c r="AA87" i="1"/>
  <c r="T83" i="1"/>
  <c r="D83" i="1"/>
  <c r="B83" i="1"/>
  <c r="R83" i="1"/>
  <c r="P83" i="1"/>
  <c r="N83" i="1"/>
  <c r="L83" i="1"/>
  <c r="J83" i="1"/>
  <c r="H83" i="1"/>
  <c r="AA79" i="1"/>
  <c r="R75" i="1"/>
  <c r="J75" i="1"/>
  <c r="D75" i="1"/>
  <c r="B75" i="1"/>
  <c r="T75" i="1"/>
  <c r="P75" i="1"/>
  <c r="N75" i="1"/>
  <c r="L75" i="1"/>
  <c r="H75" i="1"/>
  <c r="AA71" i="1"/>
  <c r="P67" i="1"/>
  <c r="H67" i="1"/>
  <c r="D67" i="1"/>
  <c r="B67" i="1"/>
  <c r="T67" i="1"/>
  <c r="R67" i="1"/>
  <c r="N67" i="1"/>
  <c r="L67" i="1"/>
  <c r="J67" i="1"/>
  <c r="AA63" i="1"/>
  <c r="T59" i="1"/>
  <c r="R59" i="1"/>
  <c r="J59" i="1"/>
  <c r="D59" i="1"/>
  <c r="B59" i="1"/>
  <c r="P59" i="1"/>
  <c r="N59" i="1"/>
  <c r="L59" i="1"/>
  <c r="H59" i="1"/>
  <c r="AA55" i="1"/>
  <c r="R51" i="1"/>
  <c r="D51" i="1"/>
  <c r="B51" i="1"/>
  <c r="T51" i="1"/>
  <c r="P51" i="1"/>
  <c r="N51" i="1"/>
  <c r="L51" i="1"/>
  <c r="J51" i="1"/>
  <c r="H51" i="1"/>
  <c r="R43" i="1"/>
  <c r="D43" i="1"/>
  <c r="B43" i="1"/>
  <c r="T43" i="1"/>
  <c r="P43" i="1"/>
  <c r="N43" i="1"/>
  <c r="L43" i="1"/>
  <c r="J43" i="1"/>
  <c r="H43" i="1"/>
  <c r="AA39" i="1"/>
  <c r="T35" i="1"/>
  <c r="R35" i="1"/>
  <c r="D35" i="1"/>
  <c r="B35" i="1"/>
  <c r="P35" i="1"/>
  <c r="N35" i="1"/>
  <c r="L35" i="1"/>
  <c r="J35" i="1"/>
  <c r="H35" i="1"/>
  <c r="D27" i="1"/>
  <c r="B27" i="1"/>
  <c r="F27" i="1"/>
  <c r="L18" i="1"/>
  <c r="H18" i="1"/>
  <c r="R18" i="1"/>
  <c r="T18" i="1"/>
  <c r="J18" i="1"/>
  <c r="N18" i="1"/>
  <c r="AA98" i="1"/>
  <c r="AA122" i="1"/>
  <c r="AA31" i="1"/>
  <c r="AA47" i="1"/>
  <c r="AA42" i="1"/>
  <c r="F139" i="1"/>
  <c r="F131" i="1"/>
  <c r="F123" i="1"/>
  <c r="AA114" i="1"/>
  <c r="F115" i="1"/>
  <c r="AA106" i="1"/>
  <c r="F107" i="1"/>
  <c r="F99" i="1"/>
  <c r="F91" i="1"/>
  <c r="AA82" i="1"/>
  <c r="F83" i="1"/>
  <c r="AA74" i="1"/>
  <c r="F75" i="1"/>
  <c r="F67" i="1"/>
  <c r="AA58" i="1"/>
  <c r="F59" i="1"/>
  <c r="AA50" i="1"/>
  <c r="F51" i="1"/>
  <c r="F43" i="1"/>
  <c r="AA34" i="1"/>
  <c r="F35" i="1"/>
  <c r="J27" i="1"/>
  <c r="N27" i="1"/>
  <c r="R27" i="1"/>
  <c r="P27" i="1"/>
  <c r="H27" i="1"/>
  <c r="AA26" i="1"/>
  <c r="T27" i="1"/>
  <c r="L27" i="1"/>
  <c r="AA23" i="1"/>
  <c r="O10" i="1"/>
  <c r="M10" i="1"/>
  <c r="K10" i="1"/>
  <c r="G10" i="1"/>
  <c r="E10" i="1"/>
  <c r="S10" i="1"/>
  <c r="Q10" i="1"/>
  <c r="I10" i="1"/>
  <c r="C10" i="1"/>
  <c r="T10" i="1"/>
  <c r="R10" i="1"/>
  <c r="N10" i="1"/>
  <c r="L10" i="1"/>
  <c r="F10" i="1"/>
  <c r="P10" i="1"/>
  <c r="J10" i="1"/>
  <c r="H10" i="1"/>
  <c r="D10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C12" i="1"/>
  <c r="B12" i="1"/>
  <c r="AA17" i="1"/>
  <c r="AC15" i="1"/>
  <c r="AA5" i="1"/>
  <c r="B13" i="1"/>
  <c r="B14" i="1"/>
  <c r="Z11" i="1"/>
  <c r="B10" i="1"/>
  <c r="B11" i="1"/>
  <c r="E11" i="1"/>
  <c r="G11" i="1"/>
  <c r="I11" i="1"/>
  <c r="K11" i="1"/>
  <c r="M11" i="1"/>
  <c r="O11" i="1"/>
  <c r="Q11" i="1"/>
  <c r="S11" i="1"/>
  <c r="U11" i="1"/>
  <c r="W11" i="1"/>
  <c r="Y11" i="1"/>
  <c r="C11" i="1"/>
  <c r="C13" i="1"/>
  <c r="D12" i="1"/>
  <c r="E13" i="1"/>
  <c r="G13" i="1"/>
  <c r="I13" i="1"/>
  <c r="I14" i="1"/>
  <c r="C14" i="1"/>
  <c r="D13" i="1"/>
  <c r="F13" i="1"/>
  <c r="F14" i="1"/>
  <c r="AA14" i="1"/>
  <c r="AA16" i="1"/>
  <c r="D11" i="1"/>
  <c r="F11" i="1"/>
  <c r="H11" i="1"/>
  <c r="J11" i="1"/>
  <c r="L11" i="1"/>
  <c r="N11" i="1"/>
  <c r="P11" i="1"/>
  <c r="R11" i="1"/>
  <c r="T11" i="1"/>
  <c r="V11" i="1"/>
  <c r="X11" i="1"/>
  <c r="E14" i="1"/>
  <c r="K13" i="1"/>
  <c r="M13" i="1"/>
  <c r="G14" i="1"/>
  <c r="D14" i="1"/>
  <c r="H13" i="1"/>
  <c r="H14" i="1"/>
  <c r="J13" i="1"/>
  <c r="J14" i="1"/>
  <c r="K14" i="1"/>
  <c r="O13" i="1"/>
  <c r="M14" i="1"/>
  <c r="L13" i="1"/>
  <c r="N13" i="1"/>
  <c r="Q13" i="1"/>
  <c r="O14" i="1"/>
  <c r="L14" i="1"/>
  <c r="S13" i="1"/>
  <c r="Q14" i="1"/>
  <c r="P13" i="1"/>
  <c r="N14" i="1"/>
  <c r="U13" i="1"/>
  <c r="U14" i="1"/>
  <c r="S14" i="1"/>
  <c r="R13" i="1"/>
  <c r="P14" i="1"/>
  <c r="W13" i="1"/>
  <c r="Y13" i="1"/>
  <c r="Y14" i="1"/>
  <c r="T13" i="1"/>
  <c r="R14" i="1"/>
  <c r="T14" i="1"/>
  <c r="V13" i="1"/>
  <c r="W14" i="1"/>
  <c r="V14" i="1"/>
  <c r="X13" i="1"/>
  <c r="X14" i="1"/>
  <c r="D260" i="17" l="1"/>
  <c r="G297" i="17" s="1"/>
  <c r="G17" i="17"/>
  <c r="G18" i="17" s="1"/>
  <c r="E15" i="17"/>
  <c r="C297" i="17" s="1"/>
  <c r="G19" i="17" l="1"/>
  <c r="G21" i="17"/>
  <c r="G22" i="17" s="1"/>
  <c r="G23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nonao</author>
  </authors>
  <commentList>
    <comment ref="G7" authorId="0" shapeId="0" xr:uid="{E9A21EBA-6F39-4CDF-A8DD-C1743A60CD13}">
      <text>
        <r>
          <rPr>
            <b/>
            <sz val="9"/>
            <color indexed="81"/>
            <rFont val="MS P ゴシック"/>
            <family val="3"/>
            <charset val="128"/>
          </rPr>
          <t>nonao:</t>
        </r>
        <r>
          <rPr>
            <sz val="9"/>
            <color indexed="81"/>
            <rFont val="MS P ゴシック"/>
            <family val="3"/>
            <charset val="128"/>
          </rPr>
          <t xml:space="preserve">
2026/3/9
ツバサ様より工期変更注文書メールで着
（工期のみ～2026/3/31までに変更）
（請負金額変更なし）</t>
        </r>
      </text>
    </comment>
  </commentList>
</comments>
</file>

<file path=xl/sharedStrings.xml><?xml version="1.0" encoding="utf-8"?>
<sst xmlns="http://schemas.openxmlformats.org/spreadsheetml/2006/main" count="2886" uniqueCount="345">
  <si>
    <t>相殺金額</t>
    <rPh sb="0" eb="2">
      <t>ソウサイ</t>
    </rPh>
    <rPh sb="2" eb="4">
      <t>キンガク</t>
    </rPh>
    <phoneticPr fontId="2"/>
  </si>
  <si>
    <t>保留金入金額</t>
    <rPh sb="0" eb="2">
      <t>ホリュウ</t>
    </rPh>
    <rPh sb="2" eb="3">
      <t>キン</t>
    </rPh>
    <rPh sb="3" eb="5">
      <t>ニュウキン</t>
    </rPh>
    <rPh sb="5" eb="6">
      <t>ガク</t>
    </rPh>
    <phoneticPr fontId="2"/>
  </si>
  <si>
    <t>本工事</t>
    <rPh sb="0" eb="3">
      <t>ホンコウジ</t>
    </rPh>
    <phoneticPr fontId="2"/>
  </si>
  <si>
    <t>追加工事</t>
    <rPh sb="0" eb="2">
      <t>ツイカ</t>
    </rPh>
    <rPh sb="2" eb="4">
      <t>コウジ</t>
    </rPh>
    <phoneticPr fontId="2"/>
  </si>
  <si>
    <t>請負金額</t>
    <rPh sb="0" eb="2">
      <t>ウケオイ</t>
    </rPh>
    <rPh sb="2" eb="4">
      <t>キンガク</t>
    </rPh>
    <phoneticPr fontId="2"/>
  </si>
  <si>
    <t>入金差額</t>
    <rPh sb="0" eb="2">
      <t>ニュウキン</t>
    </rPh>
    <rPh sb="2" eb="4">
      <t>サガク</t>
    </rPh>
    <phoneticPr fontId="2"/>
  </si>
  <si>
    <t>請求金額　(請求書の金額）</t>
    <rPh sb="0" eb="2">
      <t>セイキュウ</t>
    </rPh>
    <rPh sb="2" eb="4">
      <t>キンガク</t>
    </rPh>
    <rPh sb="6" eb="8">
      <t>セイキュウ</t>
    </rPh>
    <rPh sb="8" eb="9">
      <t>ショ</t>
    </rPh>
    <rPh sb="10" eb="12">
      <t>キンガク</t>
    </rPh>
    <phoneticPr fontId="2"/>
  </si>
  <si>
    <t>請求済累計　（入金扱い完了）</t>
    <rPh sb="0" eb="2">
      <t>セイキュウ</t>
    </rPh>
    <rPh sb="2" eb="3">
      <t>ス</t>
    </rPh>
    <rPh sb="3" eb="5">
      <t>ルイケイ</t>
    </rPh>
    <rPh sb="7" eb="9">
      <t>ニュウキン</t>
    </rPh>
    <rPh sb="9" eb="10">
      <t>アツカ</t>
    </rPh>
    <rPh sb="11" eb="13">
      <t>カンリョウ</t>
    </rPh>
    <phoneticPr fontId="2"/>
  </si>
  <si>
    <t>小計　（実際今月の入金額　）</t>
    <rPh sb="0" eb="2">
      <t>ショウケイ</t>
    </rPh>
    <rPh sb="4" eb="6">
      <t>ジッサイ</t>
    </rPh>
    <rPh sb="6" eb="8">
      <t>コンゲツ</t>
    </rPh>
    <rPh sb="9" eb="11">
      <t>ニュウキン</t>
    </rPh>
    <rPh sb="11" eb="12">
      <t>ガク</t>
    </rPh>
    <phoneticPr fontId="2"/>
  </si>
  <si>
    <t>計　　（実際入金額累計）</t>
    <rPh sb="0" eb="1">
      <t>ケイ</t>
    </rPh>
    <rPh sb="4" eb="6">
      <t>ジッサイ</t>
    </rPh>
    <rPh sb="6" eb="8">
      <t>ニュウキン</t>
    </rPh>
    <rPh sb="8" eb="9">
      <t>ガク</t>
    </rPh>
    <rPh sb="9" eb="11">
      <t>ルイケイ</t>
    </rPh>
    <phoneticPr fontId="2"/>
  </si>
  <si>
    <t>請求額累計　（請求書の額面）</t>
    <rPh sb="0" eb="2">
      <t>セイキュウ</t>
    </rPh>
    <rPh sb="2" eb="3">
      <t>ガク</t>
    </rPh>
    <rPh sb="3" eb="5">
      <t>ルイケイ</t>
    </rPh>
    <rPh sb="7" eb="9">
      <t>セイキュウ</t>
    </rPh>
    <rPh sb="9" eb="10">
      <t>ショ</t>
    </rPh>
    <rPh sb="11" eb="13">
      <t>ガクメン</t>
    </rPh>
    <phoneticPr fontId="2"/>
  </si>
  <si>
    <t>計</t>
    <rPh sb="0" eb="1">
      <t>ケイ</t>
    </rPh>
    <phoneticPr fontId="2"/>
  </si>
  <si>
    <t>入金額　（今月請求分）</t>
    <rPh sb="0" eb="2">
      <t>ニュウキン</t>
    </rPh>
    <rPh sb="2" eb="3">
      <t>ガク</t>
    </rPh>
    <rPh sb="5" eb="7">
      <t>コンゲツ</t>
    </rPh>
    <rPh sb="7" eb="9">
      <t>セイキュウ</t>
    </rPh>
    <rPh sb="9" eb="10">
      <t>ブン</t>
    </rPh>
    <phoneticPr fontId="2"/>
  </si>
  <si>
    <t>合計</t>
    <rPh sb="0" eb="2">
      <t>ゴウケイ</t>
    </rPh>
    <phoneticPr fontId="2"/>
  </si>
  <si>
    <t>入金残高</t>
    <rPh sb="0" eb="2">
      <t>ニュウキン</t>
    </rPh>
    <rPh sb="2" eb="4">
      <t>ザンダカ</t>
    </rPh>
    <phoneticPr fontId="2"/>
  </si>
  <si>
    <t>元請業者</t>
    <rPh sb="0" eb="1">
      <t>モト</t>
    </rPh>
    <rPh sb="1" eb="2">
      <t>ウケ</t>
    </rPh>
    <rPh sb="2" eb="4">
      <t>ギョウシャ</t>
    </rPh>
    <phoneticPr fontId="2"/>
  </si>
  <si>
    <t>元請担当者名</t>
    <rPh sb="0" eb="2">
      <t>モトウ</t>
    </rPh>
    <rPh sb="2" eb="4">
      <t>タントウ</t>
    </rPh>
    <rPh sb="4" eb="5">
      <t>シャ</t>
    </rPh>
    <rPh sb="5" eb="6">
      <t>メイ</t>
    </rPh>
    <phoneticPr fontId="2"/>
  </si>
  <si>
    <t>キョウラク営業担当者</t>
    <rPh sb="5" eb="7">
      <t>エイギョウ</t>
    </rPh>
    <rPh sb="7" eb="9">
      <t>タントウ</t>
    </rPh>
    <rPh sb="9" eb="10">
      <t>シャ</t>
    </rPh>
    <phoneticPr fontId="2"/>
  </si>
  <si>
    <t>キョウラク工事担当者</t>
    <rPh sb="5" eb="7">
      <t>コウジ</t>
    </rPh>
    <rPh sb="7" eb="9">
      <t>タントウ</t>
    </rPh>
    <rPh sb="9" eb="10">
      <t>シャ</t>
    </rPh>
    <phoneticPr fontId="2"/>
  </si>
  <si>
    <t>工事名</t>
    <rPh sb="0" eb="3">
      <t>コウジメイ</t>
    </rPh>
    <phoneticPr fontId="2"/>
  </si>
  <si>
    <t>住　所</t>
    <rPh sb="0" eb="1">
      <t>ジュウ</t>
    </rPh>
    <rPh sb="2" eb="3">
      <t>ショ</t>
    </rPh>
    <phoneticPr fontId="2"/>
  </si>
  <si>
    <t>工　期</t>
    <rPh sb="0" eb="1">
      <t>コウ</t>
    </rPh>
    <rPh sb="2" eb="3">
      <t>キ</t>
    </rPh>
    <phoneticPr fontId="2"/>
  </si>
  <si>
    <t>合計金額</t>
    <rPh sb="0" eb="2">
      <t>ゴウケイ</t>
    </rPh>
    <rPh sb="2" eb="4">
      <t>キンガク</t>
    </rPh>
    <phoneticPr fontId="2"/>
  </si>
  <si>
    <t>施工形態</t>
    <rPh sb="0" eb="2">
      <t>セコウ</t>
    </rPh>
    <rPh sb="2" eb="4">
      <t>ケイタイ</t>
    </rPh>
    <phoneticPr fontId="2"/>
  </si>
  <si>
    <t>施工及び発注金額</t>
    <rPh sb="0" eb="2">
      <t>セコウ</t>
    </rPh>
    <rPh sb="2" eb="3">
      <t>オヨ</t>
    </rPh>
    <rPh sb="4" eb="6">
      <t>ハッチュウ</t>
    </rPh>
    <rPh sb="6" eb="8">
      <t>キンガク</t>
    </rPh>
    <phoneticPr fontId="2"/>
  </si>
  <si>
    <t>備考欄(外注費等)</t>
    <rPh sb="0" eb="2">
      <t>ビコウ</t>
    </rPh>
    <rPh sb="2" eb="3">
      <t>ラン</t>
    </rPh>
    <rPh sb="4" eb="6">
      <t>ガイチュウ</t>
    </rPh>
    <rPh sb="6" eb="7">
      <t>ヒ</t>
    </rPh>
    <rPh sb="7" eb="8">
      <t>トウ</t>
    </rPh>
    <phoneticPr fontId="2"/>
  </si>
  <si>
    <t>業　者　名</t>
    <rPh sb="0" eb="1">
      <t>ギョウ</t>
    </rPh>
    <rPh sb="2" eb="3">
      <t>シャ</t>
    </rPh>
    <rPh sb="4" eb="5">
      <t>メイ</t>
    </rPh>
    <phoneticPr fontId="2"/>
  </si>
  <si>
    <t>請求日</t>
    <rPh sb="0" eb="2">
      <t>セイキュウ</t>
    </rPh>
    <rPh sb="2" eb="3">
      <t>ヒ</t>
    </rPh>
    <phoneticPr fontId="2"/>
  </si>
  <si>
    <t>入金予定日</t>
    <rPh sb="0" eb="2">
      <t>ニュウキン</t>
    </rPh>
    <rPh sb="2" eb="4">
      <t>ヨテイ</t>
    </rPh>
    <rPh sb="4" eb="5">
      <t>ヒ</t>
    </rPh>
    <phoneticPr fontId="2"/>
  </si>
  <si>
    <t>入金確認金額（消費税込み）</t>
    <rPh sb="0" eb="2">
      <t>ニュウキン</t>
    </rPh>
    <rPh sb="2" eb="4">
      <t>カクニン</t>
    </rPh>
    <rPh sb="4" eb="6">
      <t>キンガク</t>
    </rPh>
    <rPh sb="7" eb="10">
      <t>ショウヒゼイ</t>
    </rPh>
    <rPh sb="10" eb="11">
      <t>コミ</t>
    </rPh>
    <phoneticPr fontId="2"/>
  </si>
  <si>
    <t>確認者</t>
    <rPh sb="0" eb="2">
      <t>カクニン</t>
    </rPh>
    <rPh sb="2" eb="3">
      <t>シャ</t>
    </rPh>
    <phoneticPr fontId="2"/>
  </si>
  <si>
    <t>請求・入金確認確認表</t>
    <rPh sb="0" eb="2">
      <t>セイキュウ</t>
    </rPh>
    <rPh sb="3" eb="5">
      <t>ニュウキン</t>
    </rPh>
    <rPh sb="5" eb="7">
      <t>カクニン</t>
    </rPh>
    <rPh sb="7" eb="9">
      <t>カクニン</t>
    </rPh>
    <rPh sb="9" eb="10">
      <t>ヒョウ</t>
    </rPh>
    <phoneticPr fontId="2"/>
  </si>
  <si>
    <t>【請求・入金の部】</t>
    <rPh sb="1" eb="3">
      <t>セイキュウ</t>
    </rPh>
    <rPh sb="4" eb="6">
      <t>ニュウキン</t>
    </rPh>
    <rPh sb="7" eb="8">
      <t>ブ</t>
    </rPh>
    <phoneticPr fontId="2"/>
  </si>
  <si>
    <t>【支払いの部】</t>
    <rPh sb="1" eb="3">
      <t>シハライ</t>
    </rPh>
    <rPh sb="5" eb="6">
      <t>ブ</t>
    </rPh>
    <phoneticPr fontId="2"/>
  </si>
  <si>
    <t>請求金額</t>
    <rPh sb="0" eb="2">
      <t>セイキュウ</t>
    </rPh>
    <rPh sb="2" eb="4">
      <t>キンガク</t>
    </rPh>
    <phoneticPr fontId="2"/>
  </si>
  <si>
    <t>支払金額</t>
    <rPh sb="0" eb="2">
      <t>シハライ</t>
    </rPh>
    <rPh sb="2" eb="4">
      <t>キンガク</t>
    </rPh>
    <phoneticPr fontId="2"/>
  </si>
  <si>
    <t>支払合計額</t>
    <rPh sb="0" eb="2">
      <t>シハライ</t>
    </rPh>
    <rPh sb="2" eb="4">
      <t>ゴウケイ</t>
    </rPh>
    <rPh sb="4" eb="5">
      <t>ガク</t>
    </rPh>
    <phoneticPr fontId="2"/>
  </si>
  <si>
    <t>追加金額</t>
    <rPh sb="0" eb="2">
      <t>ツイカ</t>
    </rPh>
    <rPh sb="2" eb="4">
      <t>キンガク</t>
    </rPh>
    <phoneticPr fontId="2"/>
  </si>
  <si>
    <t>月</t>
    <rPh sb="0" eb="1">
      <t>ガツ</t>
    </rPh>
    <phoneticPr fontId="2"/>
  </si>
  <si>
    <t>支払月合計</t>
    <rPh sb="0" eb="2">
      <t>シハライ</t>
    </rPh>
    <rPh sb="2" eb="3">
      <t>ツキ</t>
    </rPh>
    <rPh sb="3" eb="5">
      <t>ゴウケイ</t>
    </rPh>
    <phoneticPr fontId="2"/>
  </si>
  <si>
    <t>支払総合計額</t>
    <rPh sb="0" eb="2">
      <t>シハライ</t>
    </rPh>
    <rPh sb="2" eb="4">
      <t>ソウゴウ</t>
    </rPh>
    <rPh sb="4" eb="5">
      <t>ケイ</t>
    </rPh>
    <rPh sb="5" eb="6">
      <t>ガク</t>
    </rPh>
    <phoneticPr fontId="2"/>
  </si>
  <si>
    <t>（消費税抜き）</t>
    <rPh sb="1" eb="4">
      <t>ショウヒゼイ</t>
    </rPh>
    <rPh sb="4" eb="5">
      <t>ヌ</t>
    </rPh>
    <phoneticPr fontId="2"/>
  </si>
  <si>
    <t>受　　注　　金　　額</t>
    <rPh sb="0" eb="1">
      <t>ジュ</t>
    </rPh>
    <rPh sb="3" eb="4">
      <t>チュウ</t>
    </rPh>
    <rPh sb="6" eb="7">
      <t>キン</t>
    </rPh>
    <rPh sb="9" eb="10">
      <t>ガク</t>
    </rPh>
    <phoneticPr fontId="2"/>
  </si>
  <si>
    <t>　　　　　　　　　　　工　事　台　帳</t>
    <rPh sb="11" eb="12">
      <t>コウ</t>
    </rPh>
    <rPh sb="13" eb="14">
      <t>コト</t>
    </rPh>
    <rPh sb="15" eb="16">
      <t>ダイ</t>
    </rPh>
    <rPh sb="17" eb="18">
      <t>チョウ</t>
    </rPh>
    <phoneticPr fontId="2"/>
  </si>
  <si>
    <t>台帳番号</t>
  </si>
  <si>
    <t>粗利率　％</t>
    <rPh sb="0" eb="3">
      <t>アラリリツ</t>
    </rPh>
    <phoneticPr fontId="2"/>
  </si>
  <si>
    <t>＊１、元請からの相殺金額は、下記の支払業者一覧にもリストアップして記入し、請求支払扱いにすること。</t>
    <rPh sb="3" eb="5">
      <t>モトウケ</t>
    </rPh>
    <rPh sb="8" eb="10">
      <t>ソウサイ</t>
    </rPh>
    <rPh sb="10" eb="12">
      <t>キンガク</t>
    </rPh>
    <rPh sb="14" eb="16">
      <t>カキ</t>
    </rPh>
    <rPh sb="17" eb="19">
      <t>シハライ</t>
    </rPh>
    <rPh sb="19" eb="21">
      <t>ギョウシャ</t>
    </rPh>
    <rPh sb="21" eb="23">
      <t>イチラン</t>
    </rPh>
    <rPh sb="33" eb="35">
      <t>キニュウ</t>
    </rPh>
    <rPh sb="37" eb="39">
      <t>セイキュウ</t>
    </rPh>
    <rPh sb="39" eb="41">
      <t>シハライ</t>
    </rPh>
    <rPh sb="41" eb="42">
      <t>アツカ</t>
    </rPh>
    <phoneticPr fontId="2"/>
  </si>
  <si>
    <t>＊２、上記の相殺金額を下請から相殺する場合は、その下請業者の相殺金額に記入すること。</t>
    <rPh sb="3" eb="5">
      <t>ジョウキ</t>
    </rPh>
    <rPh sb="6" eb="8">
      <t>ソウサイ</t>
    </rPh>
    <rPh sb="8" eb="10">
      <t>キンガク</t>
    </rPh>
    <rPh sb="11" eb="13">
      <t>シタウケ</t>
    </rPh>
    <rPh sb="15" eb="17">
      <t>ソウサイ</t>
    </rPh>
    <rPh sb="19" eb="21">
      <t>バアイ</t>
    </rPh>
    <rPh sb="25" eb="27">
      <t>シタウケ</t>
    </rPh>
    <rPh sb="27" eb="29">
      <t>ギョウシャ</t>
    </rPh>
    <rPh sb="30" eb="32">
      <t>ソウサイ</t>
    </rPh>
    <rPh sb="32" eb="34">
      <t>キンガク</t>
    </rPh>
    <rPh sb="35" eb="37">
      <t>キニュウ</t>
    </rPh>
    <phoneticPr fontId="2"/>
  </si>
  <si>
    <t>月末分</t>
    <rPh sb="0" eb="1">
      <t>ガツ</t>
    </rPh>
    <rPh sb="1" eb="2">
      <t>マツ</t>
    </rPh>
    <rPh sb="2" eb="3">
      <t>ブン</t>
    </rPh>
    <phoneticPr fontId="2"/>
  </si>
  <si>
    <t>金額（税込）</t>
    <rPh sb="0" eb="2">
      <t>キンガク</t>
    </rPh>
    <rPh sb="3" eb="5">
      <t>ゼイコミ</t>
    </rPh>
    <phoneticPr fontId="2"/>
  </si>
  <si>
    <t>相殺</t>
    <rPh sb="0" eb="2">
      <t>ソウサイ</t>
    </rPh>
    <phoneticPr fontId="2"/>
  </si>
  <si>
    <t>備考欄</t>
    <rPh sb="0" eb="2">
      <t>ビコウ</t>
    </rPh>
    <rPh sb="2" eb="3">
      <t>ラン</t>
    </rPh>
    <phoneticPr fontId="2"/>
  </si>
  <si>
    <t>≪契約変更履歴≫</t>
    <rPh sb="1" eb="3">
      <t>ケイヤク</t>
    </rPh>
    <rPh sb="3" eb="5">
      <t>ヘンコウ</t>
    </rPh>
    <rPh sb="5" eb="7">
      <t>リレキ</t>
    </rPh>
    <phoneticPr fontId="2"/>
  </si>
  <si>
    <t>②追加工事</t>
    <rPh sb="1" eb="3">
      <t>ツイカ</t>
    </rPh>
    <rPh sb="3" eb="5">
      <t>コウジ</t>
    </rPh>
    <phoneticPr fontId="2"/>
  </si>
  <si>
    <t>日付</t>
    <rPh sb="0" eb="1">
      <t>ヒ</t>
    </rPh>
    <rPh sb="1" eb="2">
      <t>ヅケ</t>
    </rPh>
    <phoneticPr fontId="2"/>
  </si>
  <si>
    <t>増減共記入</t>
    <rPh sb="0" eb="2">
      <t>ゾウゲン</t>
    </rPh>
    <rPh sb="2" eb="3">
      <t>トモ</t>
    </rPh>
    <rPh sb="3" eb="5">
      <t>キニュウ</t>
    </rPh>
    <phoneticPr fontId="2"/>
  </si>
  <si>
    <t>税抜き</t>
    <rPh sb="0" eb="1">
      <t>ゼイ</t>
    </rPh>
    <rPh sb="1" eb="2">
      <t>ヌ</t>
    </rPh>
    <phoneticPr fontId="2"/>
  </si>
  <si>
    <t>税込</t>
    <rPh sb="0" eb="2">
      <t>ゼイコミ</t>
    </rPh>
    <phoneticPr fontId="2"/>
  </si>
  <si>
    <t>請求金額(消費税込み)</t>
    <rPh sb="0" eb="2">
      <t>セイキュウ</t>
    </rPh>
    <rPh sb="2" eb="4">
      <t>キンガク</t>
    </rPh>
    <rPh sb="5" eb="8">
      <t>ショウヒゼイ</t>
    </rPh>
    <rPh sb="8" eb="9">
      <t>コミ</t>
    </rPh>
    <phoneticPr fontId="2"/>
  </si>
  <si>
    <t>③追加工事</t>
    <rPh sb="1" eb="3">
      <t>ツイカ</t>
    </rPh>
    <rPh sb="3" eb="5">
      <t>コウジ</t>
    </rPh>
    <phoneticPr fontId="2"/>
  </si>
  <si>
    <t>　　　　　　　　日締　　 日支払　　</t>
    <rPh sb="8" eb="9">
      <t>ヒ</t>
    </rPh>
    <rPh sb="9" eb="10">
      <t>シメ</t>
    </rPh>
    <rPh sb="13" eb="14">
      <t>ヨクジツ</t>
    </rPh>
    <rPh sb="14" eb="16">
      <t>シハライ</t>
    </rPh>
    <phoneticPr fontId="2"/>
  </si>
  <si>
    <t>④追加工事</t>
    <rPh sb="1" eb="3">
      <t>ツイカ</t>
    </rPh>
    <rPh sb="3" eb="5">
      <t>コウジ</t>
    </rPh>
    <phoneticPr fontId="2"/>
  </si>
  <si>
    <t>本工事・追工事の区別　↓</t>
    <rPh sb="0" eb="3">
      <t>ホンコウジ</t>
    </rPh>
    <rPh sb="4" eb="5">
      <t>ツイ</t>
    </rPh>
    <rPh sb="5" eb="7">
      <t>コウジ</t>
    </rPh>
    <rPh sb="8" eb="10">
      <t>クベツ</t>
    </rPh>
    <phoneticPr fontId="2"/>
  </si>
  <si>
    <t>手形・相殺の記入　↓</t>
    <rPh sb="0" eb="2">
      <t>テガタ</t>
    </rPh>
    <rPh sb="3" eb="5">
      <t>ソウサイ</t>
    </rPh>
    <rPh sb="6" eb="8">
      <t>キニュウ</t>
    </rPh>
    <phoneticPr fontId="2"/>
  </si>
  <si>
    <t>～</t>
    <phoneticPr fontId="2"/>
  </si>
  <si>
    <t>　　　(　　　　　　　　　　　　　　　　　)</t>
    <phoneticPr fontId="2"/>
  </si>
  <si>
    <t>　　　　）</t>
    <phoneticPr fontId="2"/>
  </si>
  <si>
    <t>　(消費税抜き)</t>
    <phoneticPr fontId="2"/>
  </si>
  <si>
    <t>どこから</t>
    <phoneticPr fontId="2"/>
  </si>
  <si>
    <t>１５、（）</t>
    <phoneticPr fontId="2"/>
  </si>
  <si>
    <t>１６、（）</t>
    <phoneticPr fontId="2"/>
  </si>
  <si>
    <t>１４、（）</t>
    <phoneticPr fontId="2"/>
  </si>
  <si>
    <t>１３、（）</t>
    <phoneticPr fontId="2"/>
  </si>
  <si>
    <t>１２、（）</t>
    <phoneticPr fontId="2"/>
  </si>
  <si>
    <t>１１、（）</t>
    <phoneticPr fontId="2"/>
  </si>
  <si>
    <t>１０、（）</t>
    <phoneticPr fontId="2"/>
  </si>
  <si>
    <t>９、（）</t>
    <phoneticPr fontId="2"/>
  </si>
  <si>
    <t>８、（）</t>
    <phoneticPr fontId="2"/>
  </si>
  <si>
    <t>７、（）</t>
    <phoneticPr fontId="2"/>
  </si>
  <si>
    <t>６、（）</t>
    <phoneticPr fontId="2"/>
  </si>
  <si>
    <t>５、（）</t>
    <phoneticPr fontId="2"/>
  </si>
  <si>
    <t>４、（）</t>
    <phoneticPr fontId="2"/>
  </si>
  <si>
    <t>３、（）</t>
    <phoneticPr fontId="2"/>
  </si>
  <si>
    <t>２、（）</t>
    <phoneticPr fontId="2"/>
  </si>
  <si>
    <t>事務担当</t>
    <rPh sb="0" eb="2">
      <t>ジム</t>
    </rPh>
    <rPh sb="2" eb="4">
      <t>タントウ</t>
    </rPh>
    <phoneticPr fontId="2"/>
  </si>
  <si>
    <t>１、（）</t>
    <phoneticPr fontId="2"/>
  </si>
  <si>
    <t>１７、（）</t>
    <phoneticPr fontId="2"/>
  </si>
  <si>
    <t>１８、（）</t>
    <phoneticPr fontId="2"/>
  </si>
  <si>
    <t>１９、（）</t>
    <phoneticPr fontId="2"/>
  </si>
  <si>
    <t>２０、（）</t>
    <phoneticPr fontId="2"/>
  </si>
  <si>
    <t>２２、（）</t>
    <phoneticPr fontId="2"/>
  </si>
  <si>
    <t>２１、（）</t>
    <phoneticPr fontId="2"/>
  </si>
  <si>
    <t>２３、（）</t>
    <phoneticPr fontId="2"/>
  </si>
  <si>
    <t>２４、（）</t>
    <phoneticPr fontId="2"/>
  </si>
  <si>
    <t>２５、（）</t>
    <phoneticPr fontId="2"/>
  </si>
  <si>
    <t>２６、（）</t>
    <phoneticPr fontId="2"/>
  </si>
  <si>
    <t>２７、（）</t>
    <phoneticPr fontId="2"/>
  </si>
  <si>
    <t>２８、（）</t>
    <phoneticPr fontId="2"/>
  </si>
  <si>
    <t>２９、（）</t>
    <phoneticPr fontId="2"/>
  </si>
  <si>
    <t>３０、（）</t>
    <phoneticPr fontId="2"/>
  </si>
  <si>
    <t>３１、（）</t>
    <phoneticPr fontId="2"/>
  </si>
  <si>
    <t>３２、（）</t>
    <phoneticPr fontId="2"/>
  </si>
  <si>
    <t>３３、（）</t>
    <phoneticPr fontId="2"/>
  </si>
  <si>
    <t>３５、（）</t>
    <phoneticPr fontId="2"/>
  </si>
  <si>
    <t>３４、（）</t>
    <phoneticPr fontId="2"/>
  </si>
  <si>
    <t>３６、（）</t>
    <phoneticPr fontId="2"/>
  </si>
  <si>
    <t>３７、（）</t>
    <phoneticPr fontId="2"/>
  </si>
  <si>
    <t>３８、（）</t>
    <phoneticPr fontId="2"/>
  </si>
  <si>
    <t>３９、（）</t>
    <phoneticPr fontId="2"/>
  </si>
  <si>
    <t>４０、（）</t>
    <phoneticPr fontId="2"/>
  </si>
  <si>
    <t>①追加工事</t>
    <rPh sb="1" eb="3">
      <t>ツイカ</t>
    </rPh>
    <rPh sb="3" eb="5">
      <t>コウジ</t>
    </rPh>
    <phoneticPr fontId="2"/>
  </si>
  <si>
    <t>消費税(10％)</t>
    <rPh sb="0" eb="3">
      <t>ショウヒゼイ</t>
    </rPh>
    <phoneticPr fontId="2"/>
  </si>
  <si>
    <r>
      <t>目　　標　　金　　額　　</t>
    </r>
    <r>
      <rPr>
        <b/>
        <sz val="12"/>
        <color rgb="FFFF0000"/>
        <rFont val="ＭＳ Ｐゴシック"/>
        <family val="3"/>
        <charset val="128"/>
        <scheme val="minor"/>
      </rPr>
      <t>78</t>
    </r>
    <r>
      <rPr>
        <b/>
        <sz val="11"/>
        <color theme="1"/>
        <rFont val="ＭＳ Ｐゴシック"/>
        <family val="3"/>
        <charset val="128"/>
        <scheme val="minor"/>
      </rPr>
      <t>％</t>
    </r>
    <rPh sb="0" eb="1">
      <t>メ</t>
    </rPh>
    <rPh sb="3" eb="4">
      <t>シルベ</t>
    </rPh>
    <rPh sb="6" eb="7">
      <t>キン</t>
    </rPh>
    <rPh sb="9" eb="10">
      <t>ガク</t>
    </rPh>
    <phoneticPr fontId="2"/>
  </si>
  <si>
    <t>契約金額</t>
    <rPh sb="0" eb="2">
      <t>ケイヤク</t>
    </rPh>
    <rPh sb="2" eb="4">
      <t>キンガク</t>
    </rPh>
    <phoneticPr fontId="2"/>
  </si>
  <si>
    <t>８月</t>
    <rPh sb="1" eb="2">
      <t>ガツ</t>
    </rPh>
    <phoneticPr fontId="2"/>
  </si>
  <si>
    <t>９月</t>
    <rPh sb="1" eb="2">
      <t>ガツ</t>
    </rPh>
    <phoneticPr fontId="2"/>
  </si>
  <si>
    <t>１０月</t>
    <rPh sb="2" eb="3">
      <t>ガツ</t>
    </rPh>
    <phoneticPr fontId="2"/>
  </si>
  <si>
    <t>１１月</t>
    <rPh sb="2" eb="3">
      <t>ガツ</t>
    </rPh>
    <phoneticPr fontId="2"/>
  </si>
  <si>
    <t>１２月</t>
    <rPh sb="2" eb="3">
      <t>ガツ</t>
    </rPh>
    <phoneticPr fontId="2"/>
  </si>
  <si>
    <t>Ｒ５／１月</t>
    <rPh sb="4" eb="5">
      <t>ガツ</t>
    </rPh>
    <phoneticPr fontId="2"/>
  </si>
  <si>
    <t>２月</t>
    <rPh sb="1" eb="2">
      <t>ガツ</t>
    </rPh>
    <phoneticPr fontId="2"/>
  </si>
  <si>
    <t>３月</t>
    <rPh sb="1" eb="2">
      <t>ガツ</t>
    </rPh>
    <phoneticPr fontId="2"/>
  </si>
  <si>
    <t>４月</t>
    <rPh sb="1" eb="2">
      <t>ガツ</t>
    </rPh>
    <phoneticPr fontId="2"/>
  </si>
  <si>
    <t>５月</t>
    <rPh sb="1" eb="2">
      <t>ガツ</t>
    </rPh>
    <phoneticPr fontId="2"/>
  </si>
  <si>
    <t>小計</t>
    <rPh sb="0" eb="2">
      <t>ショウケイ</t>
    </rPh>
    <phoneticPr fontId="2"/>
  </si>
  <si>
    <t>Ｒ４／７月</t>
    <rPh sb="4" eb="5">
      <t>ガツ</t>
    </rPh>
    <phoneticPr fontId="2"/>
  </si>
  <si>
    <t>６月</t>
    <rPh sb="1" eb="2">
      <t>ガツ</t>
    </rPh>
    <phoneticPr fontId="2"/>
  </si>
  <si>
    <t>R7</t>
    <phoneticPr fontId="2"/>
  </si>
  <si>
    <t>9728</t>
  </si>
  <si>
    <t>ツバサ建業</t>
  </si>
  <si>
    <t>社長</t>
  </si>
  <si>
    <t>放出下水処理場NO3.4汚泥焼却炉解体</t>
  </si>
  <si>
    <t>齋藤</t>
  </si>
  <si>
    <t>大阪市城東区永田2-3-61</t>
  </si>
  <si>
    <t>‘3/7</t>
  </si>
  <si>
    <t>‘2/28</t>
  </si>
  <si>
    <t>R8</t>
  </si>
  <si>
    <t>R7年度</t>
  </si>
  <si>
    <t>＜3月分＞</t>
  </si>
  <si>
    <t>なし</t>
  </si>
  <si>
    <t>エアウォーター</t>
  </si>
  <si>
    <t>オクセ</t>
  </si>
  <si>
    <t>奥村機械(株)</t>
  </si>
  <si>
    <t>自社</t>
  </si>
  <si>
    <t>創新工業</t>
  </si>
  <si>
    <t>日本機綱</t>
  </si>
  <si>
    <t>丸眞</t>
  </si>
  <si>
    <t>安田溶工</t>
  </si>
  <si>
    <t>＜4月分＞</t>
  </si>
  <si>
    <t>メタルジャパン</t>
  </si>
  <si>
    <t>摂津清運</t>
  </si>
  <si>
    <t>山村</t>
  </si>
  <si>
    <t>エイトコーポレーション</t>
  </si>
  <si>
    <t>タイラ重機建設</t>
  </si>
  <si>
    <t>三和エナジー</t>
  </si>
  <si>
    <t>岡設備</t>
  </si>
  <si>
    <t>木本商店</t>
  </si>
  <si>
    <t>ツバサ建業鉄代</t>
  </si>
  <si>
    <t>衆和金属</t>
  </si>
  <si>
    <t>＜5月分＞</t>
  </si>
  <si>
    <t>環境修復エージェント</t>
  </si>
  <si>
    <t>日鉄萬金属</t>
  </si>
  <si>
    <t>＜6月分＞</t>
  </si>
  <si>
    <t>アクティオ</t>
  </si>
  <si>
    <t>エアウォーター西日本</t>
  </si>
  <si>
    <t>旭興産業</t>
  </si>
  <si>
    <t>ニシコン</t>
  </si>
  <si>
    <t>ヨシイ</t>
  </si>
  <si>
    <t>＜7月分＞</t>
  </si>
  <si>
    <t>小計</t>
  </si>
  <si>
    <t>＜8月分＞</t>
  </si>
  <si>
    <t>日本ニューエアー</t>
  </si>
  <si>
    <t>コベルコ</t>
  </si>
  <si>
    <t>ジェイエムアール</t>
  </si>
  <si>
    <t>協栄工業</t>
  </si>
  <si>
    <t>大英</t>
  </si>
  <si>
    <t>＜9月分＞</t>
  </si>
  <si>
    <t>‘R7/4/30</t>
  </si>
  <si>
    <t>本工事</t>
  </si>
  <si>
    <t>保留金</t>
  </si>
  <si>
    <t>‘6/10</t>
  </si>
  <si>
    <t>兄キ</t>
  </si>
  <si>
    <t>相殺</t>
  </si>
  <si>
    <t>（-6,039,000）</t>
  </si>
  <si>
    <t>ツバサ建業相殺</t>
  </si>
  <si>
    <t>‘5/31</t>
  </si>
  <si>
    <t>‘7/10</t>
  </si>
  <si>
    <t>（-10,870,200）</t>
  </si>
  <si>
    <t>‘R7/5末請求分</t>
  </si>
  <si>
    <t>‘R7/4末請求分</t>
  </si>
  <si>
    <t>‘6/30</t>
  </si>
  <si>
    <t>‘8/10</t>
  </si>
  <si>
    <t>（-7,246,800）</t>
  </si>
  <si>
    <t>‘R7/6末請求分</t>
  </si>
  <si>
    <t>‘7/31</t>
  </si>
  <si>
    <t>‘9/10</t>
  </si>
  <si>
    <t>（-2,688,400）</t>
  </si>
  <si>
    <t>‘8/31</t>
  </si>
  <si>
    <t>‘10/10</t>
  </si>
  <si>
    <t>‘9/30</t>
  </si>
  <si>
    <t>奥村機械</t>
  </si>
  <si>
    <t>英翔</t>
  </si>
  <si>
    <t>加島</t>
  </si>
  <si>
    <t>〃</t>
  </si>
  <si>
    <t>ガラ代値引交渉</t>
  </si>
  <si>
    <t>齋藤課長</t>
  </si>
  <si>
    <t>値引き交渉</t>
  </si>
  <si>
    <t>計</t>
    <rPh sb="0" eb="1">
      <t>ケイ</t>
    </rPh>
    <phoneticPr fontId="2"/>
  </si>
  <si>
    <t>‘R7/7末請求分</t>
    <phoneticPr fontId="2"/>
  </si>
  <si>
    <t>なし</t>
    <phoneticPr fontId="2"/>
  </si>
  <si>
    <t>＜10月分＞</t>
    <rPh sb="3" eb="5">
      <t>ガツブン</t>
    </rPh>
    <phoneticPr fontId="2"/>
  </si>
  <si>
    <t>ツバサ建業鉄代</t>
    <rPh sb="3" eb="5">
      <t>ケンギョウ</t>
    </rPh>
    <rPh sb="5" eb="7">
      <t>テツダイ</t>
    </rPh>
    <phoneticPr fontId="2"/>
  </si>
  <si>
    <t>なし</t>
    <phoneticPr fontId="2"/>
  </si>
  <si>
    <t>小計</t>
    <rPh sb="0" eb="2">
      <t>ショウケイ</t>
    </rPh>
    <phoneticPr fontId="2"/>
  </si>
  <si>
    <t>木本商店</t>
    <rPh sb="0" eb="4">
      <t>キモトショウテン</t>
    </rPh>
    <phoneticPr fontId="2"/>
  </si>
  <si>
    <t>日鉄萬金属</t>
    <rPh sb="0" eb="5">
      <t>ニッテツマンキンゾク</t>
    </rPh>
    <phoneticPr fontId="2"/>
  </si>
  <si>
    <t>藤雅建設</t>
    <rPh sb="0" eb="2">
      <t>フジマサ</t>
    </rPh>
    <rPh sb="2" eb="4">
      <t>ケンセツ</t>
    </rPh>
    <phoneticPr fontId="2"/>
  </si>
  <si>
    <t>日本機鋼</t>
    <rPh sb="0" eb="4">
      <t>ニホンキコウ</t>
    </rPh>
    <phoneticPr fontId="2"/>
  </si>
  <si>
    <t>三和エナジー</t>
    <rPh sb="0" eb="2">
      <t>サンワ</t>
    </rPh>
    <phoneticPr fontId="2"/>
  </si>
  <si>
    <t>アクティオ</t>
    <phoneticPr fontId="2"/>
  </si>
  <si>
    <t>摂津清運</t>
    <rPh sb="0" eb="4">
      <t>セッツセイウン</t>
    </rPh>
    <phoneticPr fontId="2"/>
  </si>
  <si>
    <t>安田熔工</t>
    <rPh sb="0" eb="4">
      <t>ヤスダヨウコウ</t>
    </rPh>
    <phoneticPr fontId="2"/>
  </si>
  <si>
    <t>自社</t>
    <rPh sb="0" eb="2">
      <t>ジシャ</t>
    </rPh>
    <phoneticPr fontId="2"/>
  </si>
  <si>
    <t>英翔</t>
    <rPh sb="0" eb="2">
      <t>エイショウ</t>
    </rPh>
    <phoneticPr fontId="2"/>
  </si>
  <si>
    <t>米商</t>
    <rPh sb="0" eb="2">
      <t>コメショウ</t>
    </rPh>
    <phoneticPr fontId="2"/>
  </si>
  <si>
    <t>改良土搬入</t>
    <rPh sb="0" eb="3">
      <t>カイリョウド</t>
    </rPh>
    <rPh sb="3" eb="5">
      <t>ハンニュウ</t>
    </rPh>
    <phoneticPr fontId="2"/>
  </si>
  <si>
    <t>奥村機械</t>
    <rPh sb="0" eb="4">
      <t>オクムラキカイ</t>
    </rPh>
    <phoneticPr fontId="2"/>
  </si>
  <si>
    <t>エア・ウォーター</t>
    <phoneticPr fontId="2"/>
  </si>
  <si>
    <t>山村</t>
    <rPh sb="0" eb="2">
      <t>ヤマムラ</t>
    </rPh>
    <phoneticPr fontId="2"/>
  </si>
  <si>
    <t>協栄工業</t>
    <rPh sb="0" eb="4">
      <t>キョウエイコウギョウ</t>
    </rPh>
    <phoneticPr fontId="2"/>
  </si>
  <si>
    <t>本工事</t>
    <rPh sb="0" eb="3">
      <t>ホンコウジ</t>
    </rPh>
    <phoneticPr fontId="2"/>
  </si>
  <si>
    <t>相殺</t>
    <phoneticPr fontId="2"/>
  </si>
  <si>
    <t>（-3,850）</t>
    <phoneticPr fontId="2"/>
  </si>
  <si>
    <t>兄キ</t>
    <phoneticPr fontId="2"/>
  </si>
  <si>
    <t>‘R7/8末請求分</t>
    <phoneticPr fontId="2"/>
  </si>
  <si>
    <t>なし</t>
    <phoneticPr fontId="2"/>
  </si>
  <si>
    <t>粗利率</t>
    <rPh sb="0" eb="3">
      <t>アラリリツ</t>
    </rPh>
    <phoneticPr fontId="2"/>
  </si>
  <si>
    <t>％</t>
    <phoneticPr fontId="2"/>
  </si>
  <si>
    <t>合　計　請　求　書</t>
    <rPh sb="0" eb="1">
      <t>ゴウ</t>
    </rPh>
    <rPh sb="2" eb="3">
      <t>ケイ</t>
    </rPh>
    <rPh sb="4" eb="5">
      <t>ショウ</t>
    </rPh>
    <rPh sb="6" eb="7">
      <t>モトム</t>
    </rPh>
    <rPh sb="8" eb="9">
      <t>ショ</t>
    </rPh>
    <phoneticPr fontId="2"/>
  </si>
  <si>
    <t>請求日</t>
    <rPh sb="0" eb="3">
      <t>セイキュウビ</t>
    </rPh>
    <phoneticPr fontId="2"/>
  </si>
  <si>
    <t>適格請求書番号</t>
    <rPh sb="0" eb="2">
      <t>テキカク</t>
    </rPh>
    <rPh sb="2" eb="7">
      <t>セイキュウショバンゴウ</t>
    </rPh>
    <phoneticPr fontId="2"/>
  </si>
  <si>
    <t>　T5-1300-0103-8022</t>
    <phoneticPr fontId="2"/>
  </si>
  <si>
    <t xml:space="preserve"> 〒555-0031</t>
    <phoneticPr fontId="2"/>
  </si>
  <si>
    <t>住所</t>
    <rPh sb="0" eb="2">
      <t>ジュウショ</t>
    </rPh>
    <phoneticPr fontId="2"/>
  </si>
  <si>
    <t>〒612-8248  京都市伏見区下鳥羽上三栖町１６９</t>
    <rPh sb="11" eb="24">
      <t>キョウトシフシミクシモトバカミミスチョウ</t>
    </rPh>
    <phoneticPr fontId="2"/>
  </si>
  <si>
    <t>大阪府大阪市西淀川区出来島3-1-18</t>
    <rPh sb="0" eb="3">
      <t>オオサカフ</t>
    </rPh>
    <rPh sb="3" eb="6">
      <t>オオサカシ</t>
    </rPh>
    <rPh sb="6" eb="10">
      <t>ニシヨドガワク</t>
    </rPh>
    <rPh sb="10" eb="13">
      <t>デキジマ</t>
    </rPh>
    <phoneticPr fontId="2"/>
  </si>
  <si>
    <t>社名</t>
    <rPh sb="0" eb="2">
      <t>シャメイ</t>
    </rPh>
    <phoneticPr fontId="2"/>
  </si>
  <si>
    <t>株式会社  ネクスト・ワン</t>
    <rPh sb="0" eb="4">
      <t>カブシキガイシャ</t>
    </rPh>
    <phoneticPr fontId="2"/>
  </si>
  <si>
    <t>　株式会社　ツバサ建業　　　御中</t>
    <rPh sb="1" eb="5">
      <t>カブシキガイシャ</t>
    </rPh>
    <rPh sb="9" eb="11">
      <t>ケンギョウ</t>
    </rPh>
    <rPh sb="14" eb="16">
      <t>オンチュウ</t>
    </rPh>
    <phoneticPr fontId="2"/>
  </si>
  <si>
    <t>TEL</t>
    <phoneticPr fontId="2"/>
  </si>
  <si>
    <t>075-622-2167</t>
    <phoneticPr fontId="2"/>
  </si>
  <si>
    <t xml:space="preserve">  下記の通りご請求申し上げます。</t>
    <rPh sb="2" eb="4">
      <t>カキ</t>
    </rPh>
    <rPh sb="5" eb="6">
      <t>トオ</t>
    </rPh>
    <rPh sb="8" eb="10">
      <t>セイキュウ</t>
    </rPh>
    <rPh sb="10" eb="11">
      <t>モウ</t>
    </rPh>
    <rPh sb="12" eb="13">
      <t>ア</t>
    </rPh>
    <phoneticPr fontId="2"/>
  </si>
  <si>
    <t>FAX</t>
    <phoneticPr fontId="2"/>
  </si>
  <si>
    <t>075-622-2168</t>
    <phoneticPr fontId="2"/>
  </si>
  <si>
    <t>当月総請求額
（税込）</t>
    <rPh sb="0" eb="2">
      <t>トウゲツ</t>
    </rPh>
    <rPh sb="2" eb="3">
      <t>ソウ</t>
    </rPh>
    <rPh sb="3" eb="5">
      <t>セイキュウ</t>
    </rPh>
    <rPh sb="5" eb="6">
      <t>ガク</t>
    </rPh>
    <phoneticPr fontId="2"/>
  </si>
  <si>
    <t>【振込先】</t>
    <phoneticPr fontId="2"/>
  </si>
  <si>
    <t>銀行名</t>
    <rPh sb="0" eb="3">
      <t>ギンコウメイ</t>
    </rPh>
    <phoneticPr fontId="2"/>
  </si>
  <si>
    <t>京都信用金庫</t>
    <phoneticPr fontId="2"/>
  </si>
  <si>
    <t>支店名</t>
    <rPh sb="0" eb="3">
      <t>シテンメイ</t>
    </rPh>
    <phoneticPr fontId="2"/>
  </si>
  <si>
    <t>伏見支店</t>
    <phoneticPr fontId="2"/>
  </si>
  <si>
    <t>預金種類</t>
    <rPh sb="0" eb="4">
      <t>ヨキンシュルイ</t>
    </rPh>
    <phoneticPr fontId="2"/>
  </si>
  <si>
    <t>普通</t>
    <phoneticPr fontId="2"/>
  </si>
  <si>
    <t>口座番号</t>
    <rPh sb="0" eb="4">
      <t>コウザバンゴウ</t>
    </rPh>
    <phoneticPr fontId="2"/>
  </si>
  <si>
    <t>口座名義</t>
    <rPh sb="0" eb="2">
      <t>コウザ</t>
    </rPh>
    <rPh sb="2" eb="4">
      <t>メイギ</t>
    </rPh>
    <phoneticPr fontId="2"/>
  </si>
  <si>
    <t>ﾌﾘｶﾞﾅ</t>
    <phoneticPr fontId="2"/>
  </si>
  <si>
    <t>カブシキガイシャネクスト・ワン ダイヒョウトリシマリヤク オダカズヒコ</t>
    <phoneticPr fontId="2"/>
  </si>
  <si>
    <t>請求書担当者名</t>
    <rPh sb="0" eb="3">
      <t>セイキュウショ</t>
    </rPh>
    <rPh sb="3" eb="7">
      <t>タントウシャメイ</t>
    </rPh>
    <phoneticPr fontId="2"/>
  </si>
  <si>
    <t>織田一彦</t>
    <rPh sb="0" eb="2">
      <t>オダ</t>
    </rPh>
    <rPh sb="2" eb="4">
      <t>カズヒコ</t>
    </rPh>
    <phoneticPr fontId="2"/>
  </si>
  <si>
    <t>名義人</t>
    <rPh sb="0" eb="2">
      <t>メイギ</t>
    </rPh>
    <rPh sb="2" eb="3">
      <t>ニン</t>
    </rPh>
    <phoneticPr fontId="2"/>
  </si>
  <si>
    <t>株式会社ネクスト・ワン 代表取締役 織田一彦</t>
    <rPh sb="0" eb="4">
      <t>カブシキガイシャ</t>
    </rPh>
    <rPh sb="12" eb="17">
      <t>ダイヒョウトリシマリヤク</t>
    </rPh>
    <rPh sb="18" eb="20">
      <t>オダ</t>
    </rPh>
    <rPh sb="20" eb="22">
      <t>カズヒコ</t>
    </rPh>
    <phoneticPr fontId="2"/>
  </si>
  <si>
    <t>工事名称</t>
    <phoneticPr fontId="2"/>
  </si>
  <si>
    <t>工事項目
(請負・常用)</t>
    <rPh sb="0" eb="4">
      <t>コウジコウモク</t>
    </rPh>
    <rPh sb="6" eb="8">
      <t>ウケオイ</t>
    </rPh>
    <rPh sb="9" eb="11">
      <t>ジョウヨウ</t>
    </rPh>
    <phoneticPr fontId="2"/>
  </si>
  <si>
    <t>契約金額
(税抜)</t>
    <rPh sb="0" eb="4">
      <t>ケイヤクキンガク</t>
    </rPh>
    <rPh sb="6" eb="8">
      <t>ゼイヌ</t>
    </rPh>
    <phoneticPr fontId="2"/>
  </si>
  <si>
    <t>出来高
(％)</t>
    <rPh sb="0" eb="3">
      <t>デキダカ</t>
    </rPh>
    <phoneticPr fontId="2"/>
  </si>
  <si>
    <t>金額
（税抜）</t>
    <rPh sb="0" eb="2">
      <t>キンガク</t>
    </rPh>
    <rPh sb="4" eb="6">
      <t>ゼイヌ</t>
    </rPh>
    <phoneticPr fontId="2"/>
  </si>
  <si>
    <t>交通費関連
(税込)</t>
    <rPh sb="0" eb="3">
      <t>コウツウヒ</t>
    </rPh>
    <rPh sb="3" eb="5">
      <t>カンレン</t>
    </rPh>
    <rPh sb="7" eb="8">
      <t>ゼイ</t>
    </rPh>
    <rPh sb="8" eb="9">
      <t>コ</t>
    </rPh>
    <phoneticPr fontId="2"/>
  </si>
  <si>
    <t>請求済
（％）</t>
    <rPh sb="0" eb="3">
      <t>セイキュウズミ</t>
    </rPh>
    <phoneticPr fontId="2"/>
  </si>
  <si>
    <t>請求済金額
(税抜)</t>
    <rPh sb="0" eb="3">
      <t>セイキュウズミ</t>
    </rPh>
    <rPh sb="3" eb="5">
      <t>キンガク</t>
    </rPh>
    <rPh sb="7" eb="9">
      <t>ゼイヌ</t>
    </rPh>
    <phoneticPr fontId="2"/>
  </si>
  <si>
    <t>備　　　　考</t>
    <rPh sb="0" eb="1">
      <t>ビ</t>
    </rPh>
    <rPh sb="5" eb="6">
      <t>コウ</t>
    </rPh>
    <phoneticPr fontId="2"/>
  </si>
  <si>
    <t>放出下水処理No3,4汚泥焼却炉設備撤去工事</t>
    <phoneticPr fontId="2"/>
  </si>
  <si>
    <t>請負</t>
    <rPh sb="0" eb="2">
      <t>ウケオイ</t>
    </rPh>
    <phoneticPr fontId="2"/>
  </si>
  <si>
    <t>工事小計(税抜)</t>
    <rPh sb="0" eb="2">
      <t>コウジ</t>
    </rPh>
    <rPh sb="2" eb="4">
      <t>ショウケイ</t>
    </rPh>
    <rPh sb="5" eb="7">
      <t>ゼイヌ</t>
    </rPh>
    <phoneticPr fontId="2"/>
  </si>
  <si>
    <t>(10%)</t>
    <phoneticPr fontId="2"/>
  </si>
  <si>
    <t>(8%)</t>
    <phoneticPr fontId="2"/>
  </si>
  <si>
    <t>消費税</t>
    <rPh sb="0" eb="3">
      <t>ショウヒゼイ</t>
    </rPh>
    <phoneticPr fontId="2"/>
  </si>
  <si>
    <r>
      <t>工事合計(税込)</t>
    </r>
    <r>
      <rPr>
        <b/>
        <sz val="12"/>
        <color rgb="FFFF0000"/>
        <rFont val="ＭＳ Ｐ明朝"/>
        <family val="1"/>
        <charset val="128"/>
      </rPr>
      <t>①</t>
    </r>
    <rPh sb="0" eb="2">
      <t>コウジ</t>
    </rPh>
    <rPh sb="2" eb="4">
      <t>ゴウケイ</t>
    </rPh>
    <rPh sb="5" eb="7">
      <t>ゼイコ</t>
    </rPh>
    <phoneticPr fontId="2"/>
  </si>
  <si>
    <r>
      <t>交通費関連合計(税込)</t>
    </r>
    <r>
      <rPr>
        <b/>
        <sz val="12"/>
        <color rgb="FFFF0000"/>
        <rFont val="ＭＳ Ｐ明朝"/>
        <family val="1"/>
        <charset val="128"/>
      </rPr>
      <t>②</t>
    </r>
    <rPh sb="0" eb="3">
      <t>コウツウヒ</t>
    </rPh>
    <rPh sb="3" eb="5">
      <t>カンレン</t>
    </rPh>
    <rPh sb="5" eb="6">
      <t>ゴウ</t>
    </rPh>
    <rPh sb="6" eb="7">
      <t>ケイ</t>
    </rPh>
    <phoneticPr fontId="2"/>
  </si>
  <si>
    <t>(内消費税(10%))</t>
    <rPh sb="1" eb="2">
      <t>ウチ</t>
    </rPh>
    <rPh sb="2" eb="5">
      <t>ショウヒゼイ</t>
    </rPh>
    <phoneticPr fontId="2"/>
  </si>
  <si>
    <r>
      <t>総合計</t>
    </r>
    <r>
      <rPr>
        <b/>
        <sz val="12"/>
        <color rgb="FFFF0000"/>
        <rFont val="ＭＳ Ｐ明朝"/>
        <family val="1"/>
        <charset val="128"/>
      </rPr>
      <t>（①+②）</t>
    </r>
    <rPh sb="0" eb="3">
      <t>ソウゴウケイ</t>
    </rPh>
    <phoneticPr fontId="2"/>
  </si>
  <si>
    <t>カブシキガイシャネクスト.ワン ダイヒョウトリシマリヤク オダカズヒコ</t>
    <phoneticPr fontId="2"/>
  </si>
  <si>
    <t>T -</t>
    <phoneticPr fontId="2"/>
  </si>
  <si>
    <t>513000103802</t>
    <phoneticPr fontId="2"/>
  </si>
  <si>
    <t xml:space="preserve"> 京都市伏見区下鳥羽上三栖町１６９</t>
    <phoneticPr fontId="2"/>
  </si>
  <si>
    <t>株式会社  ネクスト・ワン</t>
    <phoneticPr fontId="2"/>
  </si>
  <si>
    <t>請求金額
（税抜）</t>
    <rPh sb="0" eb="2">
      <t>セイキュウ</t>
    </rPh>
    <rPh sb="2" eb="4">
      <t>キンガク</t>
    </rPh>
    <rPh sb="6" eb="8">
      <t>ゼイヌ</t>
    </rPh>
    <phoneticPr fontId="2"/>
  </si>
  <si>
    <t>請求済
（％）</t>
    <rPh sb="0" eb="2">
      <t>セイキュウ</t>
    </rPh>
    <rPh sb="2" eb="3">
      <t>ズミ</t>
    </rPh>
    <phoneticPr fontId="2"/>
  </si>
  <si>
    <t>累計金額
(税抜)</t>
    <rPh sb="0" eb="2">
      <t>ルイケイ</t>
    </rPh>
    <rPh sb="2" eb="4">
      <t>キンガク</t>
    </rPh>
    <rPh sb="5" eb="7">
      <t>ゼイヌ</t>
    </rPh>
    <phoneticPr fontId="2"/>
  </si>
  <si>
    <t>請負</t>
  </si>
  <si>
    <t>＜11月分＞</t>
    <rPh sb="3" eb="5">
      <t>ガツブン</t>
    </rPh>
    <phoneticPr fontId="2"/>
  </si>
  <si>
    <t>日鉄萬金属</t>
    <rPh sb="0" eb="5">
      <t>ニッテツマンキンゾク</t>
    </rPh>
    <phoneticPr fontId="2"/>
  </si>
  <si>
    <t>なし</t>
    <phoneticPr fontId="2"/>
  </si>
  <si>
    <t>小計</t>
    <rPh sb="0" eb="2">
      <t>ショウケイ</t>
    </rPh>
    <phoneticPr fontId="2"/>
  </si>
  <si>
    <t>アスプランテック</t>
    <phoneticPr fontId="2"/>
  </si>
  <si>
    <t>オールドシティ</t>
    <phoneticPr fontId="2"/>
  </si>
  <si>
    <t>安田建機リース</t>
    <rPh sb="0" eb="4">
      <t>ヤスダケンキ</t>
    </rPh>
    <phoneticPr fontId="2"/>
  </si>
  <si>
    <t>協栄工業</t>
    <rPh sb="0" eb="2">
      <t>キョウエイ</t>
    </rPh>
    <rPh sb="2" eb="4">
      <t>コウギョウ</t>
    </rPh>
    <phoneticPr fontId="2"/>
  </si>
  <si>
    <t>摂津清運</t>
    <rPh sb="0" eb="2">
      <t>セッツ</t>
    </rPh>
    <rPh sb="2" eb="4">
      <t>セイウン</t>
    </rPh>
    <phoneticPr fontId="2"/>
  </si>
  <si>
    <t>11/30</t>
    <phoneticPr fontId="2"/>
  </si>
  <si>
    <t>11/10</t>
    <phoneticPr fontId="2"/>
  </si>
  <si>
    <t>オクセ</t>
    <phoneticPr fontId="2"/>
  </si>
  <si>
    <t>保留金</t>
    <phoneticPr fontId="2"/>
  </si>
  <si>
    <t>（-3,795）</t>
    <phoneticPr fontId="2"/>
  </si>
  <si>
    <t>‘R7/9末請求分</t>
    <phoneticPr fontId="2"/>
  </si>
  <si>
    <t>仮設トビック</t>
    <rPh sb="0" eb="2">
      <t>カセツ</t>
    </rPh>
    <phoneticPr fontId="2"/>
  </si>
  <si>
    <t>〃</t>
    <phoneticPr fontId="2"/>
  </si>
  <si>
    <t>齋藤課長</t>
    <rPh sb="0" eb="4">
      <t>サイトウカチョウ</t>
    </rPh>
    <phoneticPr fontId="2"/>
  </si>
  <si>
    <t>値引き交渉</t>
    <rPh sb="0" eb="2">
      <t>ネビ</t>
    </rPh>
    <rPh sb="3" eb="5">
      <t>コウショウ</t>
    </rPh>
    <phoneticPr fontId="2"/>
  </si>
  <si>
    <t>＜12月分＞</t>
    <rPh sb="3" eb="5">
      <t>ガツブン</t>
    </rPh>
    <phoneticPr fontId="2"/>
  </si>
  <si>
    <t>12/30</t>
    <phoneticPr fontId="2"/>
  </si>
  <si>
    <t>ハジメコーポレーション</t>
    <phoneticPr fontId="2"/>
  </si>
  <si>
    <t>大英</t>
    <rPh sb="0" eb="2">
      <t>ダイエイ</t>
    </rPh>
    <phoneticPr fontId="2"/>
  </si>
  <si>
    <t>丸眞</t>
    <rPh sb="0" eb="2">
      <t>マルマサ</t>
    </rPh>
    <phoneticPr fontId="2"/>
  </si>
  <si>
    <t>オールドシティー</t>
    <phoneticPr fontId="2"/>
  </si>
  <si>
    <t>タイラ重機建設</t>
    <rPh sb="3" eb="7">
      <t>ジュウキケンセツ</t>
    </rPh>
    <phoneticPr fontId="2"/>
  </si>
  <si>
    <t>ツバサ建業</t>
    <rPh sb="3" eb="5">
      <t>ケンギョウ</t>
    </rPh>
    <phoneticPr fontId="2"/>
  </si>
  <si>
    <t>ニシコン</t>
    <phoneticPr fontId="2"/>
  </si>
  <si>
    <t>R8/1/13</t>
    <phoneticPr fontId="2"/>
  </si>
  <si>
    <t>‘R7/11末請求分</t>
    <phoneticPr fontId="2"/>
  </si>
  <si>
    <t>R8/1/10入金済</t>
    <rPh sb="7" eb="9">
      <t>ニュウキン</t>
    </rPh>
    <rPh sb="9" eb="10">
      <t>スミ</t>
    </rPh>
    <phoneticPr fontId="2"/>
  </si>
  <si>
    <t>453台残土搬入</t>
    <rPh sb="3" eb="4">
      <t>ダイ</t>
    </rPh>
    <rPh sb="4" eb="6">
      <t>ザンド</t>
    </rPh>
    <rPh sb="6" eb="8">
      <t>ハンニュウ</t>
    </rPh>
    <phoneticPr fontId="2"/>
  </si>
  <si>
    <t>R8年度</t>
    <rPh sb="2" eb="4">
      <t>ネンド</t>
    </rPh>
    <phoneticPr fontId="2"/>
  </si>
  <si>
    <t>＜１月分＞</t>
    <rPh sb="2" eb="4">
      <t>ガツブン</t>
    </rPh>
    <phoneticPr fontId="2"/>
  </si>
  <si>
    <t>2/10</t>
    <phoneticPr fontId="2"/>
  </si>
  <si>
    <t>支払い合計額
（税込み）  →</t>
    <rPh sb="0" eb="2">
      <t>シハラ</t>
    </rPh>
    <rPh sb="3" eb="5">
      <t>ゴウケイ</t>
    </rPh>
    <rPh sb="5" eb="6">
      <t>ガク</t>
    </rPh>
    <rPh sb="8" eb="10">
      <t>ゼイコ</t>
    </rPh>
    <phoneticPr fontId="2"/>
  </si>
  <si>
    <t>＜2月分＞</t>
    <rPh sb="2" eb="4">
      <t>ガツブン</t>
    </rPh>
    <phoneticPr fontId="2"/>
  </si>
  <si>
    <t>R/2/28</t>
    <phoneticPr fontId="2"/>
  </si>
  <si>
    <t>本工事</t>
    <phoneticPr fontId="2"/>
  </si>
  <si>
    <t>4/10</t>
    <phoneticPr fontId="2"/>
  </si>
  <si>
    <t>保留金</t>
    <rPh sb="0" eb="3">
      <t>ホリュウキン</t>
    </rPh>
    <phoneticPr fontId="2"/>
  </si>
  <si>
    <t>日立建機日本</t>
    <rPh sb="0" eb="6">
      <t>ヒタチケンキニホン</t>
    </rPh>
    <phoneticPr fontId="2"/>
  </si>
  <si>
    <t>菅材料代工費</t>
    <rPh sb="0" eb="1">
      <t>カン</t>
    </rPh>
    <rPh sb="1" eb="4">
      <t>ザイリョウダイ</t>
    </rPh>
    <rPh sb="4" eb="5">
      <t>コウ</t>
    </rPh>
    <rPh sb="5" eb="6">
      <t>ヒ</t>
    </rPh>
    <phoneticPr fontId="2"/>
  </si>
  <si>
    <t>配管撤去工事</t>
    <rPh sb="0" eb="2">
      <t>ハイカン</t>
    </rPh>
    <rPh sb="2" eb="4">
      <t>テッキョ</t>
    </rPh>
    <rPh sb="4" eb="6">
      <t>コウジ</t>
    </rPh>
    <phoneticPr fontId="2"/>
  </si>
  <si>
    <t>ガス工、OP、手元</t>
    <rPh sb="2" eb="3">
      <t>コウ</t>
    </rPh>
    <rPh sb="7" eb="9">
      <t>テモト</t>
    </rPh>
    <phoneticPr fontId="2"/>
  </si>
  <si>
    <t>交通費+酸素代共</t>
    <rPh sb="0" eb="3">
      <t>コウツウヒ</t>
    </rPh>
    <rPh sb="4" eb="6">
      <t>サンソ</t>
    </rPh>
    <rPh sb="6" eb="7">
      <t>ダイ</t>
    </rPh>
    <rPh sb="7" eb="8">
      <t>トモ</t>
    </rPh>
    <phoneticPr fontId="2"/>
  </si>
  <si>
    <t>改良土</t>
    <rPh sb="0" eb="3">
      <t>カイリョウド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</si>
</sst>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¥&quot;#,##0;[Red]&quot;¥&quot;\-#,##0"/>
    <numFmt numFmtId="176" formatCode="&quot;¥&quot;#,##0_);[Red]\(&quot;¥&quot;#,##0\)"/>
    <numFmt numFmtId="177" formatCode="0.0"/>
    <numFmt numFmtId="178" formatCode="[$¥-411]#,##0;[$¥-411]#,##0"/>
    <numFmt numFmtId="179" formatCode="0.0%"/>
    <numFmt numFmtId="180" formatCode="[$-411]ge;@"/>
    <numFmt numFmtId="181" formatCode="&quot;《&quot;m&quot;月》&quot;;@"/>
    <numFmt numFmtId="182" formatCode="&quot;《 &quot;General&quot;月 》&quot;"/>
    <numFmt numFmtId="183" formatCode="#,##0.0;[Red]\-#,##0.0"/>
    <numFmt numFmtId="184" formatCode="yyyy&quot;年&quot;m&quot;月&quot;d&quot;日&quot;;@"/>
    <numFmt numFmtId="185" formatCode="0_ "/>
    <numFmt numFmtId="186" formatCode="#,###"/>
    <numFmt numFmtId="187" formatCode="#,##0_ ;[Red]\-#,##0\ "/>
  </numFmts>
  <fonts count="44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1"/>
      <color rgb="FF000000"/>
      <name val="MS PGothic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b/>
      <u/>
      <sz val="19"/>
      <color theme="1"/>
      <name val="ＭＳ Ｐ明朝"/>
      <family val="1"/>
      <charset val="128"/>
    </font>
    <font>
      <b/>
      <u/>
      <sz val="2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b/>
      <sz val="15"/>
      <color theme="1"/>
      <name val="ＭＳ Ｐ明朝"/>
      <family val="1"/>
      <charset val="128"/>
    </font>
    <font>
      <sz val="13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20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24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2"/>
      <color rgb="FFFF0000"/>
      <name val="ＭＳ Ｐ明朝"/>
      <family val="1"/>
      <charset val="128"/>
    </font>
    <font>
      <sz val="12"/>
      <name val="ＭＳ Ｐ明朝"/>
      <family val="1"/>
      <charset val="128"/>
    </font>
    <font>
      <sz val="10"/>
      <color rgb="FFFF0000"/>
      <name val="ＭＳ Ｐ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indexed="64"/>
      </top>
      <bottom style="medium">
        <color theme="9" tint="-0.24997711111789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 style="thin">
        <color indexed="64"/>
      </bottom>
      <diagonal/>
    </border>
    <border>
      <left/>
      <right style="medium">
        <color theme="9" tint="-0.249977111117893"/>
      </right>
      <top style="thin">
        <color indexed="64"/>
      </top>
      <bottom style="thin">
        <color indexed="64"/>
      </bottom>
      <diagonal/>
    </border>
    <border>
      <left/>
      <right style="medium">
        <color theme="9" tint="-0.249977111117893"/>
      </right>
      <top style="thin">
        <color indexed="64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9" tint="-0.249977111117893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9" tint="-0.249977111117893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theme="9" tint="-0.249977111117893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9" tint="-0.249977111117893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/>
    <xf numFmtId="0" fontId="18" fillId="0" borderId="0">
      <alignment vertical="center"/>
    </xf>
    <xf numFmtId="0" fontId="18" fillId="0" borderId="0"/>
    <xf numFmtId="38" fontId="18" fillId="0" borderId="0" applyFont="0" applyFill="0" applyBorder="0" applyAlignment="0" applyProtection="0"/>
    <xf numFmtId="0" fontId="18" fillId="0" borderId="0"/>
    <xf numFmtId="0" fontId="20" fillId="0" borderId="0"/>
    <xf numFmtId="9" fontId="1" fillId="0" borderId="0" applyFont="0" applyFill="0" applyBorder="0" applyAlignment="0" applyProtection="0">
      <alignment vertical="center"/>
    </xf>
    <xf numFmtId="0" fontId="26" fillId="5" borderId="78" applyNumberFormat="0" applyAlignment="0" applyProtection="0">
      <alignment vertical="center"/>
    </xf>
  </cellStyleXfs>
  <cellXfs count="569">
    <xf numFmtId="0" fontId="0" fillId="0" borderId="0" xfId="0">
      <alignment vertical="center"/>
    </xf>
    <xf numFmtId="38" fontId="3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8" fontId="3" fillId="0" borderId="4" xfId="1" applyFont="1" applyBorder="1" applyAlignment="1">
      <alignment horizontal="center" vertical="center"/>
    </xf>
    <xf numFmtId="38" fontId="3" fillId="0" borderId="7" xfId="1" applyFont="1" applyBorder="1" applyAlignment="1">
      <alignment horizontal="center" vertical="center"/>
    </xf>
    <xf numFmtId="38" fontId="3" fillId="0" borderId="12" xfId="1" applyFont="1" applyBorder="1" applyAlignment="1">
      <alignment horizontal="center" vertical="center"/>
    </xf>
    <xf numFmtId="38" fontId="3" fillId="0" borderId="13" xfId="1" applyFont="1" applyBorder="1" applyAlignment="1">
      <alignment horizontal="center" vertical="center"/>
    </xf>
    <xf numFmtId="38" fontId="3" fillId="0" borderId="20" xfId="1" applyFont="1" applyBorder="1" applyAlignment="1">
      <alignment horizontal="center" vertical="center"/>
    </xf>
    <xf numFmtId="38" fontId="3" fillId="0" borderId="22" xfId="1" applyFont="1" applyBorder="1" applyAlignment="1">
      <alignment horizontal="center" vertical="center"/>
    </xf>
    <xf numFmtId="38" fontId="3" fillId="0" borderId="24" xfId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38" fontId="3" fillId="0" borderId="33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38" fontId="3" fillId="0" borderId="21" xfId="1" applyFont="1" applyBorder="1" applyAlignment="1">
      <alignment horizontal="center" vertical="center"/>
    </xf>
    <xf numFmtId="38" fontId="3" fillId="0" borderId="39" xfId="1" applyFont="1" applyBorder="1" applyAlignment="1">
      <alignment horizontal="center" vertical="center"/>
    </xf>
    <xf numFmtId="38" fontId="3" fillId="0" borderId="40" xfId="1" applyFont="1" applyBorder="1" applyAlignment="1">
      <alignment horizontal="center" vertical="center"/>
    </xf>
    <xf numFmtId="38" fontId="3" fillId="0" borderId="39" xfId="1" applyFont="1" applyFill="1" applyBorder="1" applyAlignment="1">
      <alignment horizontal="center" vertical="center"/>
    </xf>
    <xf numFmtId="38" fontId="3" fillId="0" borderId="40" xfId="1" applyFont="1" applyFill="1" applyBorder="1" applyAlignment="1">
      <alignment horizontal="center" vertical="center"/>
    </xf>
    <xf numFmtId="38" fontId="3" fillId="0" borderId="5" xfId="1" applyFont="1" applyBorder="1" applyAlignment="1">
      <alignment horizontal="center" vertical="center"/>
    </xf>
    <xf numFmtId="38" fontId="3" fillId="0" borderId="16" xfId="1" applyFont="1" applyBorder="1" applyAlignment="1">
      <alignment horizontal="center" vertical="center"/>
    </xf>
    <xf numFmtId="38" fontId="3" fillId="0" borderId="41" xfId="1" applyFont="1" applyBorder="1" applyAlignment="1">
      <alignment horizontal="center" vertical="center"/>
    </xf>
    <xf numFmtId="38" fontId="3" fillId="0" borderId="43" xfId="1" applyFont="1" applyBorder="1" applyAlignment="1">
      <alignment horizontal="center" vertical="center"/>
    </xf>
    <xf numFmtId="38" fontId="3" fillId="0" borderId="44" xfId="1" applyFont="1" applyBorder="1" applyAlignment="1">
      <alignment horizontal="center" vertical="center"/>
    </xf>
    <xf numFmtId="38" fontId="3" fillId="0" borderId="23" xfId="1" applyFont="1" applyBorder="1" applyAlignment="1">
      <alignment horizontal="center" vertical="center"/>
    </xf>
    <xf numFmtId="0" fontId="0" fillId="0" borderId="45" xfId="0" applyBorder="1">
      <alignment vertical="center"/>
    </xf>
    <xf numFmtId="0" fontId="4" fillId="0" borderId="48" xfId="0" applyFont="1" applyBorder="1">
      <alignment vertical="center"/>
    </xf>
    <xf numFmtId="0" fontId="4" fillId="0" borderId="47" xfId="0" applyFont="1" applyBorder="1">
      <alignment vertical="center"/>
    </xf>
    <xf numFmtId="38" fontId="3" fillId="0" borderId="49" xfId="1" applyFont="1" applyBorder="1" applyAlignment="1">
      <alignment horizontal="center" vertical="center"/>
    </xf>
    <xf numFmtId="38" fontId="3" fillId="0" borderId="48" xfId="1" applyFont="1" applyBorder="1" applyAlignment="1">
      <alignment horizontal="center" vertical="center"/>
    </xf>
    <xf numFmtId="38" fontId="3" fillId="0" borderId="29" xfId="1" applyFont="1" applyBorder="1" applyAlignment="1">
      <alignment horizontal="center" vertical="center"/>
    </xf>
    <xf numFmtId="38" fontId="3" fillId="0" borderId="47" xfId="1" applyFont="1" applyBorder="1" applyAlignment="1">
      <alignment horizontal="center" vertical="center"/>
    </xf>
    <xf numFmtId="38" fontId="3" fillId="0" borderId="52" xfId="1" applyFont="1" applyBorder="1" applyAlignment="1">
      <alignment horizontal="center" vertical="center"/>
    </xf>
    <xf numFmtId="0" fontId="4" fillId="0" borderId="38" xfId="0" applyFont="1" applyBorder="1">
      <alignment vertical="center"/>
    </xf>
    <xf numFmtId="0" fontId="3" fillId="0" borderId="53" xfId="0" applyFont="1" applyBorder="1">
      <alignment vertical="center"/>
    </xf>
    <xf numFmtId="0" fontId="5" fillId="0" borderId="3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8" fontId="3" fillId="0" borderId="54" xfId="1" applyFont="1" applyBorder="1" applyAlignment="1">
      <alignment horizontal="center" vertical="center"/>
    </xf>
    <xf numFmtId="38" fontId="3" fillId="0" borderId="56" xfId="1" applyFont="1" applyBorder="1" applyAlignment="1">
      <alignment horizontal="center" vertical="center"/>
    </xf>
    <xf numFmtId="38" fontId="3" fillId="0" borderId="57" xfId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38" fontId="3" fillId="0" borderId="59" xfId="1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31" xfId="0" applyFont="1" applyBorder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3" fillId="0" borderId="23" xfId="0" applyFont="1" applyBorder="1">
      <alignment vertical="center"/>
    </xf>
    <xf numFmtId="38" fontId="3" fillId="0" borderId="67" xfId="1" applyFont="1" applyBorder="1" applyAlignment="1">
      <alignment horizontal="center" vertical="center"/>
    </xf>
    <xf numFmtId="38" fontId="3" fillId="0" borderId="60" xfId="1" applyFont="1" applyBorder="1" applyAlignment="1">
      <alignment horizontal="center" vertical="center"/>
    </xf>
    <xf numFmtId="38" fontId="3" fillId="0" borderId="17" xfId="1" applyFont="1" applyBorder="1" applyAlignment="1" applyProtection="1">
      <alignment horizontal="center" vertical="center"/>
      <protection locked="0"/>
    </xf>
    <xf numFmtId="38" fontId="3" fillId="0" borderId="25" xfId="1" applyFont="1" applyBorder="1" applyAlignment="1" applyProtection="1">
      <alignment horizontal="center" vertical="center"/>
      <protection locked="0"/>
    </xf>
    <xf numFmtId="38" fontId="3" fillId="0" borderId="19" xfId="1" applyFont="1" applyBorder="1" applyAlignment="1" applyProtection="1">
      <alignment horizontal="center" vertical="center"/>
      <protection locked="0"/>
    </xf>
    <xf numFmtId="38" fontId="3" fillId="0" borderId="27" xfId="1" applyFont="1" applyBorder="1" applyAlignment="1" applyProtection="1">
      <alignment horizontal="center" vertical="center"/>
      <protection locked="0"/>
    </xf>
    <xf numFmtId="38" fontId="3" fillId="0" borderId="26" xfId="1" applyFont="1" applyBorder="1" applyAlignment="1" applyProtection="1">
      <alignment horizontal="center" vertical="center"/>
      <protection locked="0"/>
    </xf>
    <xf numFmtId="38" fontId="3" fillId="0" borderId="18" xfId="1" applyFont="1" applyBorder="1" applyAlignment="1" applyProtection="1">
      <alignment horizontal="center" vertical="center"/>
      <protection locked="0"/>
    </xf>
    <xf numFmtId="38" fontId="3" fillId="0" borderId="28" xfId="1" applyFont="1" applyBorder="1" applyAlignment="1" applyProtection="1">
      <alignment horizontal="center" vertical="center"/>
      <protection locked="0"/>
    </xf>
    <xf numFmtId="38" fontId="3" fillId="0" borderId="14" xfId="1" applyFont="1" applyBorder="1" applyAlignment="1" applyProtection="1">
      <alignment horizontal="center" vertical="center"/>
      <protection locked="0"/>
    </xf>
    <xf numFmtId="0" fontId="4" fillId="0" borderId="49" xfId="0" applyFont="1" applyBorder="1">
      <alignment vertical="center"/>
    </xf>
    <xf numFmtId="38" fontId="3" fillId="0" borderId="68" xfId="1" applyFont="1" applyBorder="1" applyAlignment="1" applyProtection="1">
      <alignment horizontal="center" vertical="center"/>
      <protection locked="0"/>
    </xf>
    <xf numFmtId="38" fontId="3" fillId="0" borderId="69" xfId="1" applyFont="1" applyBorder="1" applyAlignment="1" applyProtection="1">
      <alignment horizontal="center" vertical="center"/>
      <protection locked="0"/>
    </xf>
    <xf numFmtId="0" fontId="4" fillId="0" borderId="59" xfId="0" applyFont="1" applyBorder="1" applyAlignment="1">
      <alignment horizontal="left" vertical="center"/>
    </xf>
    <xf numFmtId="0" fontId="4" fillId="0" borderId="52" xfId="0" applyFont="1" applyBorder="1" applyAlignment="1">
      <alignment horizontal="left" vertical="center"/>
    </xf>
    <xf numFmtId="0" fontId="4" fillId="0" borderId="46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38" fontId="3" fillId="0" borderId="2" xfId="1" applyFont="1" applyBorder="1" applyAlignment="1">
      <alignment horizontal="center" vertical="center"/>
    </xf>
    <xf numFmtId="0" fontId="4" fillId="0" borderId="23" xfId="0" applyFont="1" applyBorder="1">
      <alignment vertical="center"/>
    </xf>
    <xf numFmtId="38" fontId="3" fillId="0" borderId="71" xfId="1" applyFont="1" applyBorder="1" applyAlignment="1">
      <alignment horizontal="center" vertical="center"/>
    </xf>
    <xf numFmtId="38" fontId="3" fillId="0" borderId="70" xfId="1" applyFont="1" applyBorder="1" applyAlignment="1">
      <alignment horizontal="center" vertical="center"/>
    </xf>
    <xf numFmtId="0" fontId="0" fillId="0" borderId="60" xfId="0" applyBorder="1">
      <alignment vertical="center"/>
    </xf>
    <xf numFmtId="0" fontId="0" fillId="0" borderId="67" xfId="0" applyBorder="1">
      <alignment vertical="center"/>
    </xf>
    <xf numFmtId="0" fontId="0" fillId="0" borderId="44" xfId="0" applyBorder="1">
      <alignment vertical="center"/>
    </xf>
    <xf numFmtId="0" fontId="0" fillId="0" borderId="70" xfId="0" applyBorder="1">
      <alignment vertical="center"/>
    </xf>
    <xf numFmtId="6" fontId="0" fillId="0" borderId="44" xfId="2" applyFont="1" applyBorder="1" applyAlignment="1">
      <alignment horizontal="center" vertical="center"/>
    </xf>
    <xf numFmtId="0" fontId="6" fillId="0" borderId="16" xfId="0" applyFont="1" applyBorder="1">
      <alignment vertical="center"/>
    </xf>
    <xf numFmtId="38" fontId="3" fillId="0" borderId="73" xfId="1" applyFont="1" applyBorder="1" applyAlignment="1">
      <alignment horizontal="center" vertical="center"/>
    </xf>
    <xf numFmtId="38" fontId="3" fillId="0" borderId="50" xfId="1" applyFont="1" applyBorder="1" applyAlignment="1">
      <alignment horizontal="center" vertical="center"/>
    </xf>
    <xf numFmtId="38" fontId="3" fillId="0" borderId="65" xfId="1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177" fontId="13" fillId="0" borderId="47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8" xfId="0" applyBorder="1">
      <alignment vertical="center"/>
    </xf>
    <xf numFmtId="0" fontId="10" fillId="0" borderId="0" xfId="0" applyFont="1">
      <alignment vertical="center"/>
    </xf>
    <xf numFmtId="0" fontId="19" fillId="0" borderId="60" xfId="0" applyFont="1" applyBorder="1">
      <alignment vertical="center"/>
    </xf>
    <xf numFmtId="0" fontId="19" fillId="0" borderId="6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56" fontId="10" fillId="0" borderId="0" xfId="0" applyNumberFormat="1" applyFont="1" applyAlignment="1">
      <alignment horizontal="center" vertical="center"/>
    </xf>
    <xf numFmtId="0" fontId="3" fillId="0" borderId="75" xfId="0" applyFont="1" applyBorder="1" applyAlignment="1">
      <alignment vertical="center" wrapText="1"/>
    </xf>
    <xf numFmtId="38" fontId="0" fillId="0" borderId="76" xfId="1" applyFont="1" applyBorder="1" applyAlignment="1">
      <alignment vertical="center"/>
    </xf>
    <xf numFmtId="38" fontId="0" fillId="0" borderId="77" xfId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38" fontId="0" fillId="2" borderId="77" xfId="1" applyFont="1" applyFill="1" applyBorder="1" applyAlignment="1">
      <alignment vertical="center"/>
    </xf>
    <xf numFmtId="0" fontId="25" fillId="0" borderId="67" xfId="0" applyFont="1" applyBorder="1" applyAlignment="1">
      <alignment horizontal="center" vertical="center"/>
    </xf>
    <xf numFmtId="0" fontId="24" fillId="0" borderId="67" xfId="0" applyFont="1" applyBorder="1">
      <alignment vertical="center"/>
    </xf>
    <xf numFmtId="179" fontId="0" fillId="0" borderId="71" xfId="0" applyNumberFormat="1" applyBorder="1">
      <alignment vertical="center"/>
    </xf>
    <xf numFmtId="0" fontId="0" fillId="3" borderId="39" xfId="0" applyFill="1" applyBorder="1" applyAlignment="1">
      <alignment horizontal="center" vertical="center"/>
    </xf>
    <xf numFmtId="38" fontId="0" fillId="3" borderId="77" xfId="1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80" fontId="0" fillId="0" borderId="41" xfId="0" applyNumberFormat="1" applyBorder="1" applyAlignment="1">
      <alignment horizontal="right" vertical="center"/>
    </xf>
    <xf numFmtId="38" fontId="16" fillId="0" borderId="77" xfId="1" applyFont="1" applyBorder="1" applyAlignment="1">
      <alignment vertical="center"/>
    </xf>
    <xf numFmtId="0" fontId="27" fillId="0" borderId="0" xfId="0" applyFont="1" applyAlignment="1" applyProtection="1">
      <alignment vertical="center" shrinkToFit="1"/>
      <protection locked="0"/>
    </xf>
    <xf numFmtId="0" fontId="28" fillId="0" borderId="0" xfId="0" applyFont="1" applyAlignment="1" applyProtection="1">
      <alignment vertical="center" shrinkToFit="1"/>
      <protection locked="0"/>
    </xf>
    <xf numFmtId="0" fontId="29" fillId="0" borderId="0" xfId="0" applyFont="1" applyAlignment="1" applyProtection="1">
      <alignment vertical="center" shrinkToFit="1"/>
      <protection locked="0"/>
    </xf>
    <xf numFmtId="0" fontId="28" fillId="0" borderId="0" xfId="0" applyFont="1" applyAlignment="1" applyProtection="1">
      <alignment horizontal="center" vertical="center" shrinkToFit="1"/>
      <protection locked="0"/>
    </xf>
    <xf numFmtId="0" fontId="31" fillId="0" borderId="0" xfId="0" applyFont="1" applyAlignment="1" applyProtection="1">
      <alignment vertical="center" shrinkToFit="1"/>
      <protection locked="0"/>
    </xf>
    <xf numFmtId="14" fontId="32" fillId="0" borderId="0" xfId="0" applyNumberFormat="1" applyFont="1" applyAlignment="1" applyProtection="1">
      <alignment vertical="center" shrinkToFit="1"/>
      <protection locked="0"/>
    </xf>
    <xf numFmtId="0" fontId="34" fillId="0" borderId="0" xfId="0" applyFont="1" applyAlignment="1" applyProtection="1">
      <alignment horizontal="left" vertical="center" shrinkToFit="1"/>
      <protection locked="0"/>
    </xf>
    <xf numFmtId="0" fontId="35" fillId="0" borderId="0" xfId="0" applyFont="1" applyAlignment="1" applyProtection="1">
      <alignment horizontal="center" vertical="center" shrinkToFit="1"/>
      <protection locked="0"/>
    </xf>
    <xf numFmtId="0" fontId="31" fillId="0" borderId="0" xfId="0" applyFont="1" applyAlignment="1" applyProtection="1">
      <alignment horizontal="center" vertical="center" shrinkToFit="1"/>
      <protection locked="0"/>
    </xf>
    <xf numFmtId="0" fontId="29" fillId="0" borderId="0" xfId="0" applyFont="1" applyAlignment="1" applyProtection="1">
      <alignment horizontal="center" vertical="center" shrinkToFit="1"/>
      <protection locked="0"/>
    </xf>
    <xf numFmtId="0" fontId="29" fillId="0" borderId="0" xfId="0" applyFont="1" applyAlignment="1" applyProtection="1">
      <alignment horizontal="left" vertical="center" shrinkToFit="1"/>
      <protection locked="0"/>
    </xf>
    <xf numFmtId="0" fontId="29" fillId="0" borderId="31" xfId="0" applyFont="1" applyBorder="1" applyAlignment="1" applyProtection="1">
      <alignment horizontal="center" vertical="center" shrinkToFit="1"/>
      <protection locked="0"/>
    </xf>
    <xf numFmtId="0" fontId="29" fillId="0" borderId="33" xfId="0" applyFont="1" applyBorder="1" applyAlignment="1" applyProtection="1">
      <alignment horizontal="center" vertical="center" shrinkToFit="1"/>
      <protection locked="0"/>
    </xf>
    <xf numFmtId="0" fontId="38" fillId="0" borderId="49" xfId="0" applyFont="1" applyBorder="1" applyAlignment="1" applyProtection="1">
      <alignment horizontal="center" vertical="center" shrinkToFit="1"/>
      <protection locked="0"/>
    </xf>
    <xf numFmtId="0" fontId="38" fillId="0" borderId="13" xfId="0" applyFont="1" applyBorder="1" applyAlignment="1" applyProtection="1">
      <alignment horizontal="center" vertical="center" shrinkToFit="1"/>
      <protection locked="0"/>
    </xf>
    <xf numFmtId="0" fontId="29" fillId="0" borderId="0" xfId="0" applyFont="1" applyAlignment="1" applyProtection="1">
      <alignment horizontal="right" vertical="center" shrinkToFit="1"/>
      <protection locked="0"/>
    </xf>
    <xf numFmtId="6" fontId="29" fillId="0" borderId="0" xfId="0" applyNumberFormat="1" applyFont="1" applyAlignment="1" applyProtection="1">
      <alignment vertical="center" shrinkToFit="1"/>
      <protection locked="0"/>
    </xf>
    <xf numFmtId="0" fontId="29" fillId="0" borderId="1" xfId="0" applyFont="1" applyBorder="1" applyAlignment="1" applyProtection="1">
      <alignment horizontal="center" vertical="center" shrinkToFit="1"/>
      <protection locked="0"/>
    </xf>
    <xf numFmtId="0" fontId="29" fillId="0" borderId="6" xfId="0" applyFont="1" applyBorder="1" applyAlignment="1" applyProtection="1">
      <alignment horizontal="center" vertical="center" shrinkToFit="1"/>
      <protection locked="0"/>
    </xf>
    <xf numFmtId="0" fontId="31" fillId="7" borderId="30" xfId="0" applyFont="1" applyFill="1" applyBorder="1" applyAlignment="1" applyProtection="1">
      <alignment horizontal="center" vertical="center" wrapText="1" shrinkToFit="1"/>
      <protection locked="0"/>
    </xf>
    <xf numFmtId="0" fontId="31" fillId="7" borderId="82" xfId="0" applyFont="1" applyFill="1" applyBorder="1" applyAlignment="1" applyProtection="1">
      <alignment horizontal="center" vertical="center" wrapText="1" shrinkToFit="1"/>
      <protection locked="0"/>
    </xf>
    <xf numFmtId="0" fontId="31" fillId="0" borderId="82" xfId="0" applyFont="1" applyBorder="1" applyAlignment="1" applyProtection="1">
      <alignment horizontal="center" vertical="center" wrapText="1" shrinkToFit="1"/>
      <protection locked="0"/>
    </xf>
    <xf numFmtId="0" fontId="29" fillId="0" borderId="21" xfId="0" applyFont="1" applyBorder="1" applyAlignment="1" applyProtection="1">
      <alignment vertical="center" shrinkToFit="1"/>
      <protection locked="0"/>
    </xf>
    <xf numFmtId="186" fontId="34" fillId="0" borderId="85" xfId="1" applyNumberFormat="1" applyFont="1" applyBorder="1" applyAlignment="1" applyProtection="1">
      <alignment horizontal="center" vertical="center" shrinkToFit="1"/>
      <protection locked="0"/>
    </xf>
    <xf numFmtId="179" fontId="34" fillId="0" borderId="87" xfId="10" applyNumberFormat="1" applyFont="1" applyBorder="1" applyAlignment="1" applyProtection="1">
      <alignment horizontal="right" vertical="center" shrinkToFit="1"/>
      <protection locked="0"/>
    </xf>
    <xf numFmtId="179" fontId="34" fillId="0" borderId="87" xfId="10" applyNumberFormat="1" applyFont="1" applyFill="1" applyBorder="1" applyAlignment="1" applyProtection="1">
      <alignment horizontal="right" vertical="center" shrinkToFit="1"/>
      <protection locked="0"/>
    </xf>
    <xf numFmtId="0" fontId="29" fillId="0" borderId="39" xfId="0" applyFont="1" applyBorder="1" applyAlignment="1" applyProtection="1">
      <alignment vertical="center" shrinkToFit="1"/>
      <protection locked="0"/>
    </xf>
    <xf numFmtId="186" fontId="34" fillId="0" borderId="90" xfId="1" applyNumberFormat="1" applyFont="1" applyBorder="1" applyAlignment="1" applyProtection="1">
      <alignment horizontal="center" vertical="center" shrinkToFit="1"/>
      <protection locked="0"/>
    </xf>
    <xf numFmtId="9" fontId="34" fillId="0" borderId="91" xfId="10" applyFont="1" applyBorder="1" applyAlignment="1" applyProtection="1">
      <alignment horizontal="right" vertical="center" shrinkToFit="1"/>
      <protection locked="0"/>
    </xf>
    <xf numFmtId="9" fontId="34" fillId="0" borderId="91" xfId="10" applyFont="1" applyFill="1" applyBorder="1" applyAlignment="1" applyProtection="1">
      <alignment horizontal="right" vertical="center" shrinkToFit="1"/>
      <protection locked="0"/>
    </xf>
    <xf numFmtId="0" fontId="29" fillId="0" borderId="5" xfId="0" applyFont="1" applyBorder="1" applyAlignment="1" applyProtection="1">
      <alignment vertical="center" shrinkToFit="1"/>
      <protection locked="0"/>
    </xf>
    <xf numFmtId="186" fontId="34" fillId="0" borderId="94" xfId="1" applyNumberFormat="1" applyFont="1" applyBorder="1" applyAlignment="1" applyProtection="1">
      <alignment horizontal="center" vertical="center" shrinkToFit="1"/>
      <protection locked="0"/>
    </xf>
    <xf numFmtId="9" fontId="34" fillId="0" borderId="95" xfId="10" applyFont="1" applyBorder="1" applyAlignment="1" applyProtection="1">
      <alignment horizontal="right" vertical="center" shrinkToFit="1"/>
      <protection locked="0"/>
    </xf>
    <xf numFmtId="9" fontId="34" fillId="0" borderId="95" xfId="10" applyFont="1" applyFill="1" applyBorder="1" applyAlignment="1" applyProtection="1">
      <alignment horizontal="right" vertical="center" shrinkToFit="1"/>
      <protection locked="0"/>
    </xf>
    <xf numFmtId="186" fontId="34" fillId="0" borderId="0" xfId="0" applyNumberFormat="1" applyFont="1" applyAlignment="1" applyProtection="1">
      <alignment horizontal="center" shrinkToFit="1"/>
      <protection locked="0"/>
    </xf>
    <xf numFmtId="186" fontId="34" fillId="0" borderId="0" xfId="1" applyNumberFormat="1" applyFont="1" applyBorder="1" applyAlignment="1" applyProtection="1">
      <alignment vertical="center" shrinkToFit="1"/>
      <protection locked="0"/>
    </xf>
    <xf numFmtId="186" fontId="34" fillId="0" borderId="0" xfId="1" applyNumberFormat="1" applyFont="1" applyFill="1" applyBorder="1" applyAlignment="1" applyProtection="1">
      <alignment horizontal="right" vertical="center" shrinkToFit="1"/>
      <protection locked="0"/>
    </xf>
    <xf numFmtId="38" fontId="34" fillId="0" borderId="0" xfId="1" applyFont="1" applyFill="1" applyBorder="1" applyAlignment="1" applyProtection="1">
      <alignment horizontal="right" vertical="center" shrinkToFit="1"/>
      <protection locked="0"/>
    </xf>
    <xf numFmtId="38" fontId="34" fillId="0" borderId="0" xfId="1" applyFont="1" applyFill="1" applyBorder="1" applyAlignment="1" applyProtection="1">
      <alignment horizontal="center" vertical="center" shrinkToFit="1"/>
      <protection locked="0"/>
    </xf>
    <xf numFmtId="38" fontId="29" fillId="0" borderId="0" xfId="1" applyFont="1" applyBorder="1" applyAlignment="1" applyProtection="1">
      <alignment horizontal="right" vertical="center" shrinkToFit="1"/>
      <protection locked="0"/>
    </xf>
    <xf numFmtId="49" fontId="34" fillId="8" borderId="87" xfId="2" applyNumberFormat="1" applyFont="1" applyFill="1" applyBorder="1" applyAlignment="1" applyProtection="1">
      <alignment horizontal="center" vertical="center" shrinkToFit="1"/>
    </xf>
    <xf numFmtId="49" fontId="34" fillId="0" borderId="91" xfId="0" applyNumberFormat="1" applyFont="1" applyBorder="1" applyAlignment="1">
      <alignment horizontal="center" vertical="center" shrinkToFit="1"/>
    </xf>
    <xf numFmtId="49" fontId="34" fillId="6" borderId="95" xfId="2" applyNumberFormat="1" applyFont="1" applyFill="1" applyBorder="1" applyAlignment="1" applyProtection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4" fillId="0" borderId="0" xfId="0" applyFont="1" applyAlignment="1">
      <alignment horizontal="left" vertical="center" shrinkToFit="1"/>
    </xf>
    <xf numFmtId="0" fontId="35" fillId="0" borderId="0" xfId="0" applyFont="1" applyAlignment="1">
      <alignment horizontal="center" vertical="center" shrinkToFit="1"/>
    </xf>
    <xf numFmtId="0" fontId="29" fillId="0" borderId="31" xfId="0" applyFont="1" applyBorder="1" applyAlignment="1">
      <alignment horizontal="center" vertical="center" shrinkToFit="1"/>
    </xf>
    <xf numFmtId="0" fontId="29" fillId="0" borderId="33" xfId="0" applyFont="1" applyBorder="1" applyAlignment="1">
      <alignment horizontal="center" vertical="center" shrinkToFit="1"/>
    </xf>
    <xf numFmtId="0" fontId="38" fillId="0" borderId="49" xfId="0" applyFont="1" applyBorder="1" applyAlignment="1">
      <alignment horizontal="center" vertical="center" shrinkToFit="1"/>
    </xf>
    <xf numFmtId="0" fontId="38" fillId="0" borderId="13" xfId="0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 shrinkToFit="1"/>
    </xf>
    <xf numFmtId="0" fontId="29" fillId="0" borderId="6" xfId="0" applyFont="1" applyBorder="1" applyAlignment="1">
      <alignment horizontal="center" vertical="center" shrinkToFit="1"/>
    </xf>
    <xf numFmtId="0" fontId="31" fillId="7" borderId="30" xfId="0" applyFont="1" applyFill="1" applyBorder="1" applyAlignment="1">
      <alignment horizontal="center" vertical="center" wrapText="1" shrinkToFit="1"/>
    </xf>
    <xf numFmtId="0" fontId="31" fillId="7" borderId="82" xfId="0" applyFont="1" applyFill="1" applyBorder="1" applyAlignment="1">
      <alignment horizontal="center" vertical="center" wrapText="1" shrinkToFit="1"/>
    </xf>
    <xf numFmtId="0" fontId="31" fillId="0" borderId="82" xfId="0" applyFont="1" applyBorder="1" applyAlignment="1">
      <alignment horizontal="center" vertical="center" wrapText="1" shrinkToFit="1"/>
    </xf>
    <xf numFmtId="0" fontId="29" fillId="0" borderId="21" xfId="0" applyFont="1" applyBorder="1" applyAlignment="1">
      <alignment vertical="center" shrinkToFit="1"/>
    </xf>
    <xf numFmtId="179" fontId="40" fillId="0" borderId="87" xfId="10" applyNumberFormat="1" applyFont="1" applyBorder="1" applyAlignment="1" applyProtection="1">
      <alignment horizontal="right" vertical="center" indent="1" shrinkToFit="1"/>
    </xf>
    <xf numFmtId="179" fontId="34" fillId="0" borderId="87" xfId="10" applyNumberFormat="1" applyFont="1" applyBorder="1" applyAlignment="1" applyProtection="1">
      <alignment horizontal="right" vertical="center" indent="1" shrinkToFit="1"/>
    </xf>
    <xf numFmtId="0" fontId="29" fillId="0" borderId="39" xfId="0" applyFont="1" applyBorder="1" applyAlignment="1">
      <alignment vertical="center" shrinkToFit="1"/>
    </xf>
    <xf numFmtId="179" fontId="34" fillId="0" borderId="91" xfId="10" applyNumberFormat="1" applyFont="1" applyBorder="1" applyAlignment="1" applyProtection="1">
      <alignment horizontal="right" vertical="center" indent="1" shrinkToFit="1"/>
    </xf>
    <xf numFmtId="179" fontId="34" fillId="0" borderId="91" xfId="10" applyNumberFormat="1" applyFont="1" applyFill="1" applyBorder="1" applyAlignment="1" applyProtection="1">
      <alignment horizontal="right" vertical="center" indent="1" shrinkToFit="1"/>
    </xf>
    <xf numFmtId="0" fontId="29" fillId="0" borderId="5" xfId="0" applyFont="1" applyBorder="1" applyAlignment="1">
      <alignment vertical="center" shrinkToFit="1"/>
    </xf>
    <xf numFmtId="179" fontId="34" fillId="0" borderId="95" xfId="10" applyNumberFormat="1" applyFont="1" applyBorder="1" applyAlignment="1" applyProtection="1">
      <alignment horizontal="right" vertical="center" indent="1" shrinkToFit="1"/>
    </xf>
    <xf numFmtId="179" fontId="34" fillId="0" borderId="95" xfId="10" applyNumberFormat="1" applyFont="1" applyFill="1" applyBorder="1" applyAlignment="1" applyProtection="1">
      <alignment horizontal="right" vertical="center" indent="1" shrinkToFit="1"/>
    </xf>
    <xf numFmtId="0" fontId="0" fillId="0" borderId="39" xfId="0" quotePrefix="1" applyBorder="1" applyAlignment="1">
      <alignment horizontal="center" vertical="center"/>
    </xf>
    <xf numFmtId="0" fontId="5" fillId="0" borderId="21" xfId="0" quotePrefix="1" applyFont="1" applyBorder="1" applyAlignment="1">
      <alignment horizontal="center" vertical="center"/>
    </xf>
    <xf numFmtId="38" fontId="17" fillId="0" borderId="77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38" fontId="0" fillId="0" borderId="1" xfId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8" fontId="0" fillId="4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8" fontId="0" fillId="0" borderId="63" xfId="1" applyFont="1" applyBorder="1" applyAlignment="1">
      <alignment horizontal="center" vertical="center"/>
    </xf>
    <xf numFmtId="38" fontId="0" fillId="0" borderId="66" xfId="1" applyFont="1" applyBorder="1" applyAlignment="1">
      <alignment horizontal="center" vertical="center"/>
    </xf>
    <xf numFmtId="38" fontId="17" fillId="0" borderId="63" xfId="1" applyFont="1" applyBorder="1" applyAlignment="1">
      <alignment horizontal="center" vertical="center"/>
    </xf>
    <xf numFmtId="38" fontId="17" fillId="0" borderId="12" xfId="1" applyFont="1" applyBorder="1" applyAlignment="1">
      <alignment horizontal="center" vertical="center"/>
    </xf>
    <xf numFmtId="38" fontId="0" fillId="0" borderId="12" xfId="1" applyFont="1" applyBorder="1" applyAlignment="1">
      <alignment horizontal="center" vertical="center"/>
    </xf>
    <xf numFmtId="38" fontId="16" fillId="0" borderId="63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8" fontId="0" fillId="0" borderId="16" xfId="1" applyFont="1" applyBorder="1" applyAlignment="1">
      <alignment horizontal="right" vertical="center"/>
    </xf>
    <xf numFmtId="38" fontId="0" fillId="0" borderId="13" xfId="1" applyFont="1" applyBorder="1" applyAlignment="1">
      <alignment horizontal="right" vertical="center"/>
    </xf>
    <xf numFmtId="0" fontId="5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38" fontId="0" fillId="4" borderId="16" xfId="1" applyFont="1" applyFill="1" applyBorder="1" applyAlignment="1">
      <alignment horizontal="center" vertical="center"/>
    </xf>
    <xf numFmtId="38" fontId="0" fillId="4" borderId="13" xfId="1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8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0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71" xfId="0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55" xfId="0" applyBorder="1" applyAlignment="1">
      <alignment horizontal="left" vertical="center"/>
    </xf>
    <xf numFmtId="0" fontId="0" fillId="0" borderId="72" xfId="0" applyBorder="1" applyAlignment="1">
      <alignment horizontal="left" vertical="center"/>
    </xf>
    <xf numFmtId="38" fontId="10" fillId="0" borderId="0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56" fontId="0" fillId="0" borderId="4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38" fontId="19" fillId="0" borderId="0" xfId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76" fontId="0" fillId="0" borderId="8" xfId="0" applyNumberFormat="1" applyBorder="1" applyAlignment="1">
      <alignment horizontal="right" vertical="center"/>
    </xf>
    <xf numFmtId="176" fontId="0" fillId="0" borderId="61" xfId="0" applyNumberFormat="1" applyBorder="1" applyAlignment="1">
      <alignment horizontal="right" vertical="center"/>
    </xf>
    <xf numFmtId="176" fontId="0" fillId="0" borderId="62" xfId="0" applyNumberFormat="1" applyBorder="1" applyAlignment="1">
      <alignment horizontal="right" vertical="center"/>
    </xf>
    <xf numFmtId="9" fontId="0" fillId="0" borderId="58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8" fontId="0" fillId="0" borderId="41" xfId="2" applyNumberFormat="1" applyFont="1" applyBorder="1" applyAlignment="1">
      <alignment horizontal="center" vertical="center"/>
    </xf>
    <xf numFmtId="178" fontId="0" fillId="0" borderId="44" xfId="2" applyNumberFormat="1" applyFont="1" applyBorder="1" applyAlignment="1">
      <alignment horizontal="center" vertical="center"/>
    </xf>
    <xf numFmtId="6" fontId="0" fillId="0" borderId="3" xfId="0" applyNumberFormat="1" applyBorder="1">
      <alignment vertical="center"/>
    </xf>
    <xf numFmtId="6" fontId="0" fillId="0" borderId="4" xfId="0" applyNumberFormat="1" applyBorder="1">
      <alignment vertical="center"/>
    </xf>
    <xf numFmtId="6" fontId="0" fillId="0" borderId="6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2" fontId="0" fillId="0" borderId="16" xfId="0" applyNumberFormat="1" applyBorder="1" applyAlignment="1">
      <alignment horizontal="left" vertical="center"/>
    </xf>
    <xf numFmtId="182" fontId="0" fillId="0" borderId="13" xfId="0" applyNumberForma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38" fontId="0" fillId="3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38" fontId="0" fillId="2" borderId="63" xfId="1" applyFont="1" applyFill="1" applyBorder="1" applyAlignment="1">
      <alignment horizontal="center" vertical="center"/>
    </xf>
    <xf numFmtId="38" fontId="0" fillId="2" borderId="66" xfId="1" applyFont="1" applyFill="1" applyBorder="1" applyAlignment="1">
      <alignment horizontal="center" vertical="center"/>
    </xf>
    <xf numFmtId="183" fontId="0" fillId="2" borderId="63" xfId="1" applyNumberFormat="1" applyFont="1" applyFill="1" applyBorder="1" applyAlignment="1">
      <alignment horizontal="center" vertical="center"/>
    </xf>
    <xf numFmtId="183" fontId="0" fillId="2" borderId="12" xfId="1" applyNumberFormat="1" applyFont="1" applyFill="1" applyBorder="1" applyAlignment="1">
      <alignment horizontal="center" vertical="center"/>
    </xf>
    <xf numFmtId="38" fontId="0" fillId="3" borderId="63" xfId="1" applyFont="1" applyFill="1" applyBorder="1" applyAlignment="1">
      <alignment horizontal="center" vertical="center"/>
    </xf>
    <xf numFmtId="38" fontId="0" fillId="3" borderId="66" xfId="1" applyFont="1" applyFill="1" applyBorder="1" applyAlignment="1">
      <alignment horizontal="center" vertical="center"/>
    </xf>
    <xf numFmtId="38" fontId="0" fillId="3" borderId="12" xfId="1" applyFont="1" applyFill="1" applyBorder="1" applyAlignment="1">
      <alignment horizontal="center" vertical="center"/>
    </xf>
    <xf numFmtId="38" fontId="0" fillId="0" borderId="67" xfId="1" applyFont="1" applyBorder="1" applyAlignment="1">
      <alignment horizontal="center" vertical="center"/>
    </xf>
    <xf numFmtId="38" fontId="0" fillId="0" borderId="71" xfId="1" applyFont="1" applyBorder="1" applyAlignment="1">
      <alignment horizontal="center" vertical="center"/>
    </xf>
    <xf numFmtId="38" fontId="0" fillId="0" borderId="1" xfId="1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1" fillId="0" borderId="1" xfId="0" quotePrefix="1" applyFont="1" applyBorder="1" applyAlignment="1">
      <alignment horizontal="center" vertical="center"/>
    </xf>
    <xf numFmtId="38" fontId="3" fillId="0" borderId="41" xfId="1" applyFont="1" applyBorder="1" applyAlignment="1">
      <alignment horizontal="center" vertical="center"/>
    </xf>
    <xf numFmtId="38" fontId="3" fillId="0" borderId="64" xfId="1" applyFont="1" applyBorder="1" applyAlignment="1">
      <alignment horizontal="center" vertical="center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38" fontId="3" fillId="0" borderId="5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38" fontId="3" fillId="0" borderId="44" xfId="1" applyFont="1" applyBorder="1" applyAlignment="1">
      <alignment horizontal="center" vertical="center"/>
    </xf>
    <xf numFmtId="0" fontId="9" fillId="0" borderId="46" xfId="0" applyFont="1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alignment horizontal="center"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61" xfId="0" applyBorder="1" applyProtection="1">
      <alignment vertical="center"/>
      <protection locked="0"/>
    </xf>
    <xf numFmtId="0" fontId="0" fillId="0" borderId="62" xfId="0" applyBorder="1" applyProtection="1">
      <alignment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0" fillId="0" borderId="49" xfId="0" applyFont="1" applyBorder="1" applyAlignment="1">
      <alignment horizontal="distributed" vertical="center" indent="2" shrinkToFit="1"/>
    </xf>
    <xf numFmtId="0" fontId="30" fillId="0" borderId="55" xfId="0" applyFont="1" applyBorder="1" applyAlignment="1">
      <alignment horizontal="distributed" vertical="center" indent="2" shrinkToFit="1"/>
    </xf>
    <xf numFmtId="6" fontId="34" fillId="0" borderId="49" xfId="2" applyFont="1" applyFill="1" applyBorder="1" applyAlignment="1" applyProtection="1">
      <alignment horizontal="right" vertical="center" shrinkToFit="1"/>
    </xf>
    <xf numFmtId="6" fontId="34" fillId="0" borderId="55" xfId="2" applyFont="1" applyFill="1" applyBorder="1" applyAlignment="1" applyProtection="1">
      <alignment horizontal="right" vertical="center" shrinkToFit="1"/>
    </xf>
    <xf numFmtId="6" fontId="34" fillId="0" borderId="72" xfId="2" applyFont="1" applyFill="1" applyBorder="1" applyAlignment="1" applyProtection="1">
      <alignment horizontal="right" vertical="center" shrinkToFit="1"/>
    </xf>
    <xf numFmtId="0" fontId="30" fillId="0" borderId="8" xfId="0" applyFont="1" applyBorder="1" applyAlignment="1">
      <alignment horizontal="distributed" vertical="center" indent="2" shrinkToFit="1"/>
    </xf>
    <xf numFmtId="0" fontId="30" fillId="0" borderId="61" xfId="0" applyFont="1" applyBorder="1" applyAlignment="1">
      <alignment horizontal="distributed" vertical="center" indent="2" shrinkToFit="1"/>
    </xf>
    <xf numFmtId="6" fontId="34" fillId="0" borderId="8" xfId="2" applyFont="1" applyBorder="1" applyAlignment="1" applyProtection="1">
      <alignment horizontal="right" vertical="center" shrinkToFit="1"/>
    </xf>
    <xf numFmtId="6" fontId="34" fillId="0" borderId="61" xfId="2" applyFont="1" applyBorder="1" applyAlignment="1" applyProtection="1">
      <alignment horizontal="right" vertical="center" shrinkToFit="1"/>
    </xf>
    <xf numFmtId="6" fontId="34" fillId="0" borderId="62" xfId="2" applyFont="1" applyBorder="1" applyAlignment="1" applyProtection="1">
      <alignment horizontal="right" vertical="center" shrinkToFit="1"/>
    </xf>
    <xf numFmtId="0" fontId="30" fillId="10" borderId="23" xfId="0" applyFont="1" applyFill="1" applyBorder="1" applyAlignment="1">
      <alignment horizontal="distributed" vertical="center" indent="2" shrinkToFit="1"/>
    </xf>
    <xf numFmtId="0" fontId="30" fillId="10" borderId="44" xfId="0" applyFont="1" applyFill="1" applyBorder="1" applyAlignment="1">
      <alignment horizontal="distributed" vertical="center" indent="2" shrinkToFit="1"/>
    </xf>
    <xf numFmtId="0" fontId="30" fillId="10" borderId="70" xfId="0" applyFont="1" applyFill="1" applyBorder="1" applyAlignment="1">
      <alignment horizontal="distributed" vertical="center" indent="2" shrinkToFit="1"/>
    </xf>
    <xf numFmtId="6" fontId="34" fillId="6" borderId="100" xfId="2" applyFont="1" applyFill="1" applyBorder="1" applyAlignment="1" applyProtection="1">
      <alignment horizontal="right" vertical="center" shrinkToFit="1"/>
    </xf>
    <xf numFmtId="6" fontId="34" fillId="6" borderId="70" xfId="2" applyFont="1" applyFill="1" applyBorder="1" applyAlignment="1" applyProtection="1">
      <alignment horizontal="right" vertical="center" shrinkToFit="1"/>
    </xf>
    <xf numFmtId="49" fontId="34" fillId="6" borderId="95" xfId="2" applyNumberFormat="1" applyFont="1" applyFill="1" applyBorder="1" applyAlignment="1" applyProtection="1">
      <alignment horizontal="center" vertical="center" shrinkToFit="1"/>
    </xf>
    <xf numFmtId="49" fontId="34" fillId="6" borderId="96" xfId="2" applyNumberFormat="1" applyFont="1" applyFill="1" applyBorder="1" applyAlignment="1" applyProtection="1">
      <alignment horizontal="center" vertical="center" shrinkToFit="1"/>
    </xf>
    <xf numFmtId="6" fontId="34" fillId="6" borderId="96" xfId="2" applyFont="1" applyFill="1" applyBorder="1" applyAlignment="1" applyProtection="1">
      <alignment horizontal="right" vertical="center" shrinkToFit="1"/>
    </xf>
    <xf numFmtId="6" fontId="34" fillId="6" borderId="97" xfId="2" applyFont="1" applyFill="1" applyBorder="1" applyAlignment="1" applyProtection="1">
      <alignment horizontal="right" vertical="center" shrinkToFit="1"/>
    </xf>
    <xf numFmtId="0" fontId="30" fillId="2" borderId="31" xfId="0" applyFont="1" applyFill="1" applyBorder="1" applyAlignment="1">
      <alignment horizontal="distributed" vertical="center" indent="2" shrinkToFit="1"/>
    </xf>
    <xf numFmtId="0" fontId="30" fillId="2" borderId="67" xfId="0" applyFont="1" applyFill="1" applyBorder="1" applyAlignment="1">
      <alignment horizontal="distributed" vertical="center" indent="2" shrinkToFit="1"/>
    </xf>
    <xf numFmtId="6" fontId="34" fillId="2" borderId="31" xfId="2" applyFont="1" applyFill="1" applyBorder="1" applyAlignment="1" applyProtection="1">
      <alignment horizontal="right" vertical="center" shrinkToFit="1"/>
    </xf>
    <xf numFmtId="6" fontId="34" fillId="2" borderId="67" xfId="2" applyFont="1" applyFill="1" applyBorder="1" applyAlignment="1" applyProtection="1">
      <alignment horizontal="right" vertical="center" shrinkToFit="1"/>
    </xf>
    <xf numFmtId="6" fontId="34" fillId="2" borderId="71" xfId="2" applyFont="1" applyFill="1" applyBorder="1" applyAlignment="1" applyProtection="1">
      <alignment horizontal="right" vertical="center" shrinkToFit="1"/>
    </xf>
    <xf numFmtId="0" fontId="30" fillId="8" borderId="31" xfId="0" applyFont="1" applyFill="1" applyBorder="1" applyAlignment="1">
      <alignment horizontal="distributed" vertical="center" indent="2" shrinkToFit="1"/>
    </xf>
    <xf numFmtId="0" fontId="30" fillId="8" borderId="67" xfId="0" applyFont="1" applyFill="1" applyBorder="1" applyAlignment="1">
      <alignment horizontal="distributed" vertical="center" indent="2" shrinkToFit="1"/>
    </xf>
    <xf numFmtId="0" fontId="30" fillId="8" borderId="71" xfId="0" applyFont="1" applyFill="1" applyBorder="1" applyAlignment="1">
      <alignment horizontal="distributed" vertical="center" indent="2" shrinkToFit="1"/>
    </xf>
    <xf numFmtId="6" fontId="34" fillId="8" borderId="98" xfId="2" applyFont="1" applyFill="1" applyBorder="1" applyAlignment="1" applyProtection="1">
      <alignment horizontal="right" vertical="center" shrinkToFit="1"/>
    </xf>
    <xf numFmtId="6" fontId="34" fillId="8" borderId="71" xfId="2" applyFont="1" applyFill="1" applyBorder="1" applyAlignment="1" applyProtection="1">
      <alignment horizontal="right" vertical="center" shrinkToFit="1"/>
    </xf>
    <xf numFmtId="49" fontId="34" fillId="9" borderId="87" xfId="2" applyNumberFormat="1" applyFont="1" applyFill="1" applyBorder="1" applyAlignment="1" applyProtection="1">
      <alignment horizontal="center" vertical="center" shrinkToFit="1"/>
    </xf>
    <xf numFmtId="49" fontId="34" fillId="9" borderId="88" xfId="2" applyNumberFormat="1" applyFont="1" applyFill="1" applyBorder="1" applyAlignment="1" applyProtection="1">
      <alignment horizontal="center" vertical="center" shrinkToFit="1"/>
    </xf>
    <xf numFmtId="6" fontId="34" fillId="9" borderId="88" xfId="2" applyFont="1" applyFill="1" applyBorder="1" applyAlignment="1" applyProtection="1">
      <alignment horizontal="right" vertical="center" shrinkToFit="1"/>
    </xf>
    <xf numFmtId="6" fontId="34" fillId="9" borderId="89" xfId="2" applyFont="1" applyFill="1" applyBorder="1" applyAlignment="1" applyProtection="1">
      <alignment horizontal="right" vertical="center" shrinkToFit="1"/>
    </xf>
    <xf numFmtId="0" fontId="30" fillId="0" borderId="72" xfId="0" applyFont="1" applyBorder="1" applyAlignment="1">
      <alignment horizontal="distributed" vertical="center" indent="2" shrinkToFit="1"/>
    </xf>
    <xf numFmtId="6" fontId="34" fillId="0" borderId="99" xfId="2" applyFont="1" applyBorder="1" applyAlignment="1" applyProtection="1">
      <alignment horizontal="right" vertical="center" shrinkToFit="1"/>
      <protection locked="0"/>
    </xf>
    <xf numFmtId="6" fontId="34" fillId="0" borderId="72" xfId="2" applyFont="1" applyBorder="1" applyAlignment="1" applyProtection="1">
      <alignment horizontal="right" vertical="center" shrinkToFit="1"/>
      <protection locked="0"/>
    </xf>
    <xf numFmtId="49" fontId="34" fillId="0" borderId="91" xfId="0" applyNumberFormat="1" applyFont="1" applyBorder="1" applyAlignment="1">
      <alignment horizontal="center" vertical="center" shrinkToFit="1"/>
    </xf>
    <xf numFmtId="49" fontId="34" fillId="0" borderId="92" xfId="0" applyNumberFormat="1" applyFont="1" applyBorder="1" applyAlignment="1">
      <alignment horizontal="center" vertical="center" shrinkToFit="1"/>
    </xf>
    <xf numFmtId="6" fontId="34" fillId="0" borderId="92" xfId="2" applyFont="1" applyBorder="1" applyAlignment="1" applyProtection="1">
      <alignment horizontal="right" vertical="center" shrinkToFit="1"/>
    </xf>
    <xf numFmtId="6" fontId="34" fillId="0" borderId="93" xfId="2" applyFont="1" applyBorder="1" applyAlignment="1" applyProtection="1">
      <alignment horizontal="right" vertical="center" shrinkToFit="1"/>
    </xf>
    <xf numFmtId="186" fontId="34" fillId="0" borderId="44" xfId="0" applyNumberFormat="1" applyFont="1" applyBorder="1" applyAlignment="1" applyProtection="1">
      <alignment horizontal="center" shrinkToFit="1"/>
      <protection locked="0"/>
    </xf>
    <xf numFmtId="186" fontId="34" fillId="0" borderId="70" xfId="0" applyNumberFormat="1" applyFont="1" applyBorder="1" applyAlignment="1" applyProtection="1">
      <alignment horizontal="center" shrinkToFit="1"/>
      <protection locked="0"/>
    </xf>
    <xf numFmtId="187" fontId="34" fillId="0" borderId="5" xfId="1" applyNumberFormat="1" applyFont="1" applyBorder="1" applyAlignment="1" applyProtection="1">
      <alignment horizontal="right" vertical="center" shrinkToFit="1"/>
      <protection locked="0"/>
    </xf>
    <xf numFmtId="187" fontId="34" fillId="0" borderId="6" xfId="1" applyNumberFormat="1" applyFont="1" applyBorder="1" applyAlignment="1" applyProtection="1">
      <alignment horizontal="right" vertical="center" shrinkToFit="1"/>
      <protection locked="0"/>
    </xf>
    <xf numFmtId="187" fontId="34" fillId="0" borderId="7" xfId="1" applyNumberFormat="1" applyFont="1" applyBorder="1" applyAlignment="1" applyProtection="1">
      <alignment horizontal="right" vertical="center" shrinkToFit="1"/>
      <protection locked="0"/>
    </xf>
    <xf numFmtId="187" fontId="34" fillId="8" borderId="96" xfId="1" applyNumberFormat="1" applyFont="1" applyFill="1" applyBorder="1" applyAlignment="1" applyProtection="1">
      <alignment horizontal="right" vertical="center" shrinkToFit="1"/>
      <protection locked="0"/>
    </xf>
    <xf numFmtId="187" fontId="34" fillId="8" borderId="97" xfId="1" applyNumberFormat="1" applyFont="1" applyFill="1" applyBorder="1" applyAlignment="1" applyProtection="1">
      <alignment horizontal="right" vertical="center" shrinkToFit="1"/>
      <protection locked="0"/>
    </xf>
    <xf numFmtId="187" fontId="34" fillId="2" borderId="23" xfId="1" applyNumberFormat="1" applyFont="1" applyFill="1" applyBorder="1" applyAlignment="1" applyProtection="1">
      <alignment horizontal="right" vertical="center" shrinkToFit="1"/>
      <protection locked="0"/>
    </xf>
    <xf numFmtId="187" fontId="34" fillId="2" borderId="70" xfId="1" applyNumberFormat="1" applyFont="1" applyFill="1" applyBorder="1" applyAlignment="1" applyProtection="1">
      <alignment horizontal="right" vertical="center" shrinkToFit="1"/>
      <protection locked="0"/>
    </xf>
    <xf numFmtId="187" fontId="34" fillId="0" borderId="96" xfId="1" applyNumberFormat="1" applyFont="1" applyFill="1" applyBorder="1" applyAlignment="1" applyProtection="1">
      <alignment horizontal="right" vertical="center" shrinkToFit="1"/>
      <protection locked="0"/>
    </xf>
    <xf numFmtId="187" fontId="34" fillId="0" borderId="97" xfId="1" applyNumberFormat="1" applyFont="1" applyFill="1" applyBorder="1" applyAlignment="1" applyProtection="1">
      <alignment horizontal="right" vertical="center" shrinkToFit="1"/>
      <protection locked="0"/>
    </xf>
    <xf numFmtId="6" fontId="34" fillId="0" borderId="23" xfId="1" applyNumberFormat="1" applyFont="1" applyFill="1" applyBorder="1" applyAlignment="1" applyProtection="1">
      <alignment horizontal="center" vertical="center" shrinkToFit="1"/>
      <protection locked="0"/>
    </xf>
    <xf numFmtId="6" fontId="34" fillId="0" borderId="70" xfId="1" applyNumberFormat="1" applyFont="1" applyFill="1" applyBorder="1" applyAlignment="1" applyProtection="1">
      <alignment horizontal="center" vertical="center" shrinkToFit="1"/>
      <protection locked="0"/>
    </xf>
    <xf numFmtId="186" fontId="34" fillId="0" borderId="55" xfId="0" applyNumberFormat="1" applyFont="1" applyBorder="1" applyAlignment="1" applyProtection="1">
      <alignment horizontal="center" shrinkToFit="1"/>
      <protection locked="0"/>
    </xf>
    <xf numFmtId="186" fontId="34" fillId="0" borderId="72" xfId="0" applyNumberFormat="1" applyFont="1" applyBorder="1" applyAlignment="1" applyProtection="1">
      <alignment horizontal="center" shrinkToFit="1"/>
      <protection locked="0"/>
    </xf>
    <xf numFmtId="187" fontId="34" fillId="0" borderId="39" xfId="1" applyNumberFormat="1" applyFont="1" applyBorder="1" applyAlignment="1" applyProtection="1">
      <alignment horizontal="right" vertical="center" shrinkToFit="1"/>
      <protection locked="0"/>
    </xf>
    <xf numFmtId="187" fontId="34" fillId="0" borderId="1" xfId="1" applyNumberFormat="1" applyFont="1" applyBorder="1" applyAlignment="1" applyProtection="1">
      <alignment horizontal="right" vertical="center" shrinkToFit="1"/>
      <protection locked="0"/>
    </xf>
    <xf numFmtId="187" fontId="34" fillId="0" borderId="40" xfId="1" applyNumberFormat="1" applyFont="1" applyBorder="1" applyAlignment="1" applyProtection="1">
      <alignment horizontal="right" vertical="center" shrinkToFit="1"/>
      <protection locked="0"/>
    </xf>
    <xf numFmtId="187" fontId="34" fillId="8" borderId="92" xfId="1" applyNumberFormat="1" applyFont="1" applyFill="1" applyBorder="1" applyAlignment="1" applyProtection="1">
      <alignment horizontal="right" vertical="center" shrinkToFit="1"/>
      <protection locked="0"/>
    </xf>
    <xf numFmtId="187" fontId="34" fillId="8" borderId="93" xfId="1" applyNumberFormat="1" applyFont="1" applyFill="1" applyBorder="1" applyAlignment="1" applyProtection="1">
      <alignment horizontal="right" vertical="center" shrinkToFit="1"/>
      <protection locked="0"/>
    </xf>
    <xf numFmtId="187" fontId="34" fillId="2" borderId="49" xfId="1" applyNumberFormat="1" applyFont="1" applyFill="1" applyBorder="1" applyAlignment="1" applyProtection="1">
      <alignment horizontal="right" vertical="center" shrinkToFit="1"/>
      <protection locked="0"/>
    </xf>
    <xf numFmtId="187" fontId="34" fillId="2" borderId="72" xfId="1" applyNumberFormat="1" applyFont="1" applyFill="1" applyBorder="1" applyAlignment="1" applyProtection="1">
      <alignment horizontal="right" vertical="center" shrinkToFit="1"/>
      <protection locked="0"/>
    </xf>
    <xf numFmtId="187" fontId="34" fillId="0" borderId="92" xfId="1" applyNumberFormat="1" applyFont="1" applyFill="1" applyBorder="1" applyAlignment="1" applyProtection="1">
      <alignment horizontal="right" vertical="center" shrinkToFit="1"/>
      <protection locked="0"/>
    </xf>
    <xf numFmtId="187" fontId="34" fillId="0" borderId="93" xfId="1" applyNumberFormat="1" applyFont="1" applyFill="1" applyBorder="1" applyAlignment="1" applyProtection="1">
      <alignment horizontal="right" vertical="center" shrinkToFit="1"/>
      <protection locked="0"/>
    </xf>
    <xf numFmtId="6" fontId="34" fillId="0" borderId="49" xfId="1" applyNumberFormat="1" applyFont="1" applyFill="1" applyBorder="1" applyAlignment="1" applyProtection="1">
      <alignment horizontal="center" vertical="center" shrinkToFit="1"/>
      <protection locked="0"/>
    </xf>
    <xf numFmtId="6" fontId="34" fillId="0" borderId="72" xfId="1" applyNumberFormat="1" applyFont="1" applyFill="1" applyBorder="1" applyAlignment="1" applyProtection="1">
      <alignment horizontal="center" vertical="center" shrinkToFit="1"/>
      <protection locked="0"/>
    </xf>
    <xf numFmtId="186" fontId="34" fillId="0" borderId="16" xfId="0" applyNumberFormat="1" applyFont="1" applyBorder="1" applyAlignment="1" applyProtection="1">
      <alignment horizontal="center" shrinkToFit="1"/>
      <protection locked="0"/>
    </xf>
    <xf numFmtId="186" fontId="34" fillId="0" borderId="15" xfId="0" applyNumberFormat="1" applyFont="1" applyBorder="1" applyAlignment="1" applyProtection="1">
      <alignment horizontal="center" shrinkToFit="1"/>
      <protection locked="0"/>
    </xf>
    <xf numFmtId="186" fontId="34" fillId="0" borderId="67" xfId="0" applyNumberFormat="1" applyFont="1" applyBorder="1" applyAlignment="1" applyProtection="1">
      <alignment horizontal="center" shrinkToFit="1"/>
      <protection locked="0"/>
    </xf>
    <xf numFmtId="186" fontId="34" fillId="0" borderId="71" xfId="0" applyNumberFormat="1" applyFont="1" applyBorder="1" applyAlignment="1" applyProtection="1">
      <alignment horizontal="center" shrinkToFit="1"/>
      <protection locked="0"/>
    </xf>
    <xf numFmtId="187" fontId="34" fillId="0" borderId="21" xfId="1" applyNumberFormat="1" applyFont="1" applyBorder="1" applyAlignment="1" applyProtection="1">
      <alignment horizontal="right" vertical="center" shrinkToFit="1"/>
      <protection locked="0"/>
    </xf>
    <xf numFmtId="187" fontId="34" fillId="0" borderId="86" xfId="1" applyNumberFormat="1" applyFont="1" applyBorder="1" applyAlignment="1" applyProtection="1">
      <alignment horizontal="right" vertical="center" shrinkToFit="1"/>
      <protection locked="0"/>
    </xf>
    <xf numFmtId="187" fontId="34" fillId="0" borderId="22" xfId="1" applyNumberFormat="1" applyFont="1" applyBorder="1" applyAlignment="1" applyProtection="1">
      <alignment horizontal="right" vertical="center" shrinkToFit="1"/>
      <protection locked="0"/>
    </xf>
    <xf numFmtId="187" fontId="34" fillId="8" borderId="88" xfId="1" applyNumberFormat="1" applyFont="1" applyFill="1" applyBorder="1" applyAlignment="1" applyProtection="1">
      <alignment horizontal="right" vertical="center" shrinkToFit="1"/>
      <protection locked="0"/>
    </xf>
    <xf numFmtId="187" fontId="34" fillId="8" borderId="89" xfId="1" applyNumberFormat="1" applyFont="1" applyFill="1" applyBorder="1" applyAlignment="1" applyProtection="1">
      <alignment horizontal="right" vertical="center" shrinkToFit="1"/>
      <protection locked="0"/>
    </xf>
    <xf numFmtId="187" fontId="34" fillId="2" borderId="31" xfId="1" applyNumberFormat="1" applyFont="1" applyFill="1" applyBorder="1" applyAlignment="1" applyProtection="1">
      <alignment horizontal="right" vertical="center" shrinkToFit="1"/>
      <protection locked="0"/>
    </xf>
    <xf numFmtId="187" fontId="34" fillId="2" borderId="71" xfId="1" applyNumberFormat="1" applyFont="1" applyFill="1" applyBorder="1" applyAlignment="1" applyProtection="1">
      <alignment horizontal="right" vertical="center" shrinkToFit="1"/>
      <protection locked="0"/>
    </xf>
    <xf numFmtId="187" fontId="34" fillId="0" borderId="88" xfId="1" applyNumberFormat="1" applyFont="1" applyFill="1" applyBorder="1" applyAlignment="1" applyProtection="1">
      <alignment horizontal="right" vertical="center" shrinkToFit="1"/>
      <protection locked="0"/>
    </xf>
    <xf numFmtId="187" fontId="34" fillId="0" borderId="89" xfId="1" applyNumberFormat="1" applyFont="1" applyFill="1" applyBorder="1" applyAlignment="1" applyProtection="1">
      <alignment horizontal="right" vertical="center" shrinkToFit="1"/>
      <protection locked="0"/>
    </xf>
    <xf numFmtId="6" fontId="34" fillId="0" borderId="31" xfId="1" applyNumberFormat="1" applyFont="1" applyFill="1" applyBorder="1" applyAlignment="1" applyProtection="1">
      <alignment horizontal="center" vertical="center" shrinkToFit="1"/>
      <protection locked="0"/>
    </xf>
    <xf numFmtId="6" fontId="34" fillId="0" borderId="71" xfId="1" applyNumberFormat="1" applyFont="1" applyFill="1" applyBorder="1" applyAlignment="1" applyProtection="1">
      <alignment horizontal="center" vertical="center" shrinkToFit="1"/>
      <protection locked="0"/>
    </xf>
    <xf numFmtId="0" fontId="31" fillId="6" borderId="8" xfId="11" applyFont="1" applyFill="1" applyBorder="1" applyAlignment="1" applyProtection="1">
      <alignment horizontal="distributed" vertical="center" indent="5" shrinkToFit="1"/>
    </xf>
    <xf numFmtId="0" fontId="31" fillId="6" borderId="61" xfId="11" applyFont="1" applyFill="1" applyBorder="1" applyAlignment="1" applyProtection="1">
      <alignment horizontal="distributed" vertical="center" indent="5" shrinkToFit="1"/>
    </xf>
    <xf numFmtId="0" fontId="31" fillId="6" borderId="62" xfId="11" applyFont="1" applyFill="1" applyBorder="1" applyAlignment="1" applyProtection="1">
      <alignment horizontal="distributed" vertical="center" indent="5" shrinkToFit="1"/>
    </xf>
    <xf numFmtId="0" fontId="31" fillId="7" borderId="34" xfId="0" applyFont="1" applyFill="1" applyBorder="1" applyAlignment="1">
      <alignment horizontal="distributed" vertical="center" wrapText="1" indent="1" shrinkToFit="1"/>
    </xf>
    <xf numFmtId="0" fontId="31" fillId="7" borderId="9" xfId="0" applyFont="1" applyFill="1" applyBorder="1" applyAlignment="1">
      <alignment horizontal="distributed" vertical="center" indent="1" shrinkToFit="1"/>
    </xf>
    <xf numFmtId="0" fontId="31" fillId="7" borderId="35" xfId="0" applyFont="1" applyFill="1" applyBorder="1" applyAlignment="1">
      <alignment horizontal="distributed" vertical="center" indent="1" shrinkToFit="1"/>
    </xf>
    <xf numFmtId="0" fontId="31" fillId="8" borderId="83" xfId="0" applyFont="1" applyFill="1" applyBorder="1" applyAlignment="1">
      <alignment horizontal="distributed" vertical="center" wrapText="1" indent="1" shrinkToFit="1"/>
    </xf>
    <xf numFmtId="0" fontId="31" fillId="8" borderId="83" xfId="0" applyFont="1" applyFill="1" applyBorder="1" applyAlignment="1">
      <alignment horizontal="distributed" vertical="center" indent="1" shrinkToFit="1"/>
    </xf>
    <xf numFmtId="0" fontId="31" fillId="8" borderId="84" xfId="0" applyFont="1" applyFill="1" applyBorder="1" applyAlignment="1">
      <alignment horizontal="distributed" vertical="center" indent="1" shrinkToFit="1"/>
    </xf>
    <xf numFmtId="0" fontId="31" fillId="2" borderId="8" xfId="0" applyFont="1" applyFill="1" applyBorder="1" applyAlignment="1">
      <alignment horizontal="distributed" vertical="center" wrapText="1" indent="1" shrinkToFit="1"/>
    </xf>
    <xf numFmtId="0" fontId="31" fillId="2" borderId="62" xfId="0" applyFont="1" applyFill="1" applyBorder="1" applyAlignment="1">
      <alignment horizontal="distributed" vertical="center" indent="1" shrinkToFit="1"/>
    </xf>
    <xf numFmtId="0" fontId="31" fillId="0" borderId="83" xfId="0" applyFont="1" applyBorder="1" applyAlignment="1">
      <alignment horizontal="distributed" vertical="center" wrapText="1" indent="1" shrinkToFit="1"/>
    </xf>
    <xf numFmtId="0" fontId="31" fillId="0" borderId="83" xfId="0" applyFont="1" applyBorder="1" applyAlignment="1">
      <alignment horizontal="distributed" vertical="center" indent="1" shrinkToFit="1"/>
    </xf>
    <xf numFmtId="0" fontId="31" fillId="0" borderId="84" xfId="0" applyFont="1" applyBorder="1" applyAlignment="1">
      <alignment horizontal="distributed" vertical="center" indent="1" shrinkToFit="1"/>
    </xf>
    <xf numFmtId="0" fontId="31" fillId="0" borderId="8" xfId="0" applyFont="1" applyBorder="1" applyAlignment="1">
      <alignment horizontal="center" vertical="center" shrinkToFit="1"/>
    </xf>
    <xf numFmtId="0" fontId="31" fillId="0" borderId="62" xfId="0" applyFont="1" applyBorder="1" applyAlignment="1">
      <alignment horizontal="center" vertical="center" shrinkToFit="1"/>
    </xf>
    <xf numFmtId="0" fontId="38" fillId="0" borderId="1" xfId="0" applyFont="1" applyBorder="1" applyAlignment="1" applyProtection="1">
      <alignment horizontal="center" vertical="center" shrinkToFit="1"/>
      <protection locked="0"/>
    </xf>
    <xf numFmtId="0" fontId="34" fillId="0" borderId="16" xfId="0" applyFont="1" applyBorder="1" applyAlignment="1" applyProtection="1">
      <alignment horizontal="center" vertical="center" shrinkToFit="1"/>
      <protection locked="0"/>
    </xf>
    <xf numFmtId="0" fontId="34" fillId="0" borderId="55" xfId="0" applyFont="1" applyBorder="1" applyAlignment="1" applyProtection="1">
      <alignment horizontal="center" vertical="center" shrinkToFit="1"/>
      <protection locked="0"/>
    </xf>
    <xf numFmtId="0" fontId="34" fillId="0" borderId="72" xfId="0" applyFont="1" applyBorder="1" applyAlignment="1" applyProtection="1">
      <alignment horizontal="center" vertical="center" shrinkToFit="1"/>
      <protection locked="0"/>
    </xf>
    <xf numFmtId="6" fontId="34" fillId="0" borderId="0" xfId="0" applyNumberFormat="1" applyFont="1" applyAlignment="1" applyProtection="1">
      <alignment horizontal="center" vertical="center" shrinkToFit="1"/>
      <protection locked="0"/>
    </xf>
    <xf numFmtId="0" fontId="29" fillId="0" borderId="39" xfId="0" applyFont="1" applyBorder="1" applyAlignment="1">
      <alignment horizontal="center" vertical="center" shrinkToFit="1"/>
    </xf>
    <xf numFmtId="0" fontId="29" fillId="0" borderId="5" xfId="0" applyFont="1" applyBorder="1" applyAlignment="1">
      <alignment horizontal="center" vertical="center" shrinkToFit="1"/>
    </xf>
    <xf numFmtId="0" fontId="38" fillId="0" borderId="16" xfId="0" applyFont="1" applyBorder="1" applyAlignment="1" applyProtection="1">
      <alignment horizontal="center" vertical="center" shrinkToFit="1"/>
      <protection locked="0"/>
    </xf>
    <xf numFmtId="0" fontId="38" fillId="0" borderId="55" xfId="0" applyFont="1" applyBorder="1" applyAlignment="1" applyProtection="1">
      <alignment horizontal="center" vertical="center" shrinkToFit="1"/>
      <protection locked="0"/>
    </xf>
    <xf numFmtId="0" fontId="38" fillId="0" borderId="72" xfId="0" applyFont="1" applyBorder="1" applyAlignment="1" applyProtection="1">
      <alignment horizontal="center" vertical="center" shrinkToFit="1"/>
      <protection locked="0"/>
    </xf>
    <xf numFmtId="0" fontId="29" fillId="0" borderId="63" xfId="0" applyFont="1" applyBorder="1" applyAlignment="1">
      <alignment horizontal="center" vertical="center" shrinkToFit="1"/>
    </xf>
    <xf numFmtId="0" fontId="29" fillId="0" borderId="63" xfId="0" applyFont="1" applyBorder="1" applyAlignment="1" applyProtection="1">
      <alignment horizontal="center" vertical="center" shrinkToFit="1"/>
      <protection locked="0"/>
    </xf>
    <xf numFmtId="185" fontId="34" fillId="0" borderId="41" xfId="0" applyNumberFormat="1" applyFont="1" applyBorder="1" applyAlignment="1" applyProtection="1">
      <alignment horizontal="center" vertical="center" shrinkToFit="1"/>
      <protection locked="0"/>
    </xf>
    <xf numFmtId="185" fontId="34" fillId="0" borderId="44" xfId="0" applyNumberFormat="1" applyFont="1" applyBorder="1" applyAlignment="1" applyProtection="1">
      <alignment horizontal="center" vertical="center" shrinkToFit="1"/>
      <protection locked="0"/>
    </xf>
    <xf numFmtId="185" fontId="34" fillId="0" borderId="70" xfId="0" applyNumberFormat="1" applyFont="1" applyBorder="1" applyAlignment="1" applyProtection="1">
      <alignment horizontal="center" vertical="center" shrinkToFit="1"/>
      <protection locked="0"/>
    </xf>
    <xf numFmtId="0" fontId="30" fillId="0" borderId="30" xfId="0" applyFont="1" applyBorder="1" applyAlignment="1">
      <alignment horizontal="distributed" vertical="center" wrapText="1" indent="1" shrinkToFit="1"/>
    </xf>
    <xf numFmtId="0" fontId="30" fillId="0" borderId="32" xfId="0" applyFont="1" applyBorder="1" applyAlignment="1">
      <alignment horizontal="distributed" vertical="center" indent="1" shrinkToFit="1"/>
    </xf>
    <xf numFmtId="0" fontId="30" fillId="0" borderId="57" xfId="0" applyFont="1" applyBorder="1" applyAlignment="1">
      <alignment horizontal="distributed" vertical="center" indent="1" shrinkToFit="1"/>
    </xf>
    <xf numFmtId="0" fontId="30" fillId="0" borderId="80" xfId="0" applyFont="1" applyBorder="1" applyAlignment="1">
      <alignment horizontal="distributed" vertical="center" indent="1" shrinkToFit="1"/>
    </xf>
    <xf numFmtId="6" fontId="37" fillId="0" borderId="11" xfId="2" applyFont="1" applyBorder="1" applyAlignment="1" applyProtection="1">
      <alignment horizontal="center" vertical="center" shrinkToFit="1"/>
    </xf>
    <xf numFmtId="6" fontId="37" fillId="0" borderId="58" xfId="2" applyFont="1" applyBorder="1" applyAlignment="1" applyProtection="1">
      <alignment horizontal="center" vertical="center" shrinkToFit="1"/>
    </xf>
    <xf numFmtId="6" fontId="37" fillId="0" borderId="79" xfId="2" applyFont="1" applyBorder="1" applyAlignment="1" applyProtection="1">
      <alignment horizontal="center" vertical="center" shrinkToFit="1"/>
    </xf>
    <xf numFmtId="6" fontId="37" fillId="0" borderId="81" xfId="2" applyFont="1" applyBorder="1" applyAlignment="1" applyProtection="1">
      <alignment horizontal="center" vertical="center" shrinkToFit="1"/>
    </xf>
    <xf numFmtId="6" fontId="37" fillId="0" borderId="60" xfId="2" applyFont="1" applyBorder="1" applyAlignment="1" applyProtection="1">
      <alignment horizontal="center" vertical="center" shrinkToFit="1"/>
    </xf>
    <xf numFmtId="6" fontId="37" fillId="0" borderId="65" xfId="2" applyFont="1" applyBorder="1" applyAlignment="1" applyProtection="1">
      <alignment horizontal="center" vertical="center" shrinkToFit="1"/>
    </xf>
    <xf numFmtId="0" fontId="29" fillId="0" borderId="3" xfId="0" applyFont="1" applyBorder="1" applyAlignment="1" applyProtection="1">
      <alignment horizontal="center" vertical="center" shrinkToFit="1"/>
      <protection locked="0"/>
    </xf>
    <xf numFmtId="0" fontId="34" fillId="0" borderId="15" xfId="0" applyFont="1" applyBorder="1" applyAlignment="1" applyProtection="1">
      <alignment horizontal="center" vertical="center" shrinkToFit="1"/>
      <protection locked="0"/>
    </xf>
    <xf numFmtId="0" fontId="34" fillId="0" borderId="67" xfId="0" applyFont="1" applyBorder="1" applyAlignment="1" applyProtection="1">
      <alignment horizontal="center" vertical="center" shrinkToFit="1"/>
      <protection locked="0"/>
    </xf>
    <xf numFmtId="0" fontId="34" fillId="0" borderId="71" xfId="0" applyFont="1" applyBorder="1" applyAlignment="1" applyProtection="1">
      <alignment horizontal="center" vertical="center" shrinkToFit="1"/>
      <protection locked="0"/>
    </xf>
    <xf numFmtId="0" fontId="33" fillId="0" borderId="0" xfId="0" applyFont="1" applyAlignment="1">
      <alignment horizontal="left" vertical="center" shrinkToFit="1"/>
    </xf>
    <xf numFmtId="0" fontId="34" fillId="0" borderId="0" xfId="0" applyFont="1" applyAlignment="1">
      <alignment horizontal="left" vertical="center" shrinkToFit="1"/>
    </xf>
    <xf numFmtId="0" fontId="29" fillId="0" borderId="0" xfId="0" applyFont="1" applyAlignment="1" applyProtection="1">
      <alignment horizontal="left" vertical="center" indent="1" shrinkToFit="1"/>
      <protection locked="0"/>
    </xf>
    <xf numFmtId="0" fontId="33" fillId="0" borderId="0" xfId="0" applyFont="1" applyAlignment="1">
      <alignment vertical="center" shrinkToFit="1"/>
    </xf>
    <xf numFmtId="0" fontId="36" fillId="0" borderId="0" xfId="0" applyFont="1" applyAlignment="1" applyProtection="1">
      <alignment horizontal="left" vertical="center" indent="1" shrinkToFit="1"/>
      <protection locked="0"/>
    </xf>
    <xf numFmtId="0" fontId="36" fillId="0" borderId="0" xfId="0" applyFont="1" applyAlignment="1">
      <alignment horizontal="left" vertical="center" shrinkToFit="1"/>
    </xf>
    <xf numFmtId="0" fontId="27" fillId="0" borderId="0" xfId="0" applyFont="1" applyAlignment="1">
      <alignment horizontal="center" vertical="center" shrinkToFit="1"/>
    </xf>
    <xf numFmtId="0" fontId="30" fillId="0" borderId="8" xfId="0" applyFont="1" applyBorder="1" applyAlignment="1">
      <alignment horizontal="distributed" vertical="center" indent="1" shrinkToFit="1"/>
    </xf>
    <xf numFmtId="0" fontId="30" fillId="0" borderId="62" xfId="0" applyFont="1" applyBorder="1" applyAlignment="1">
      <alignment horizontal="distributed" vertical="center" indent="1" shrinkToFit="1"/>
    </xf>
    <xf numFmtId="184" fontId="34" fillId="0" borderId="8" xfId="0" applyNumberFormat="1" applyFont="1" applyBorder="1" applyAlignment="1" applyProtection="1">
      <alignment horizontal="center" vertical="center" shrinkToFit="1"/>
      <protection locked="0"/>
    </xf>
    <xf numFmtId="184" fontId="34" fillId="0" borderId="61" xfId="0" applyNumberFormat="1" applyFont="1" applyBorder="1" applyAlignment="1" applyProtection="1">
      <alignment horizontal="center" vertical="center" shrinkToFit="1"/>
      <protection locked="0"/>
    </xf>
    <xf numFmtId="184" fontId="34" fillId="0" borderId="62" xfId="0" applyNumberFormat="1" applyFont="1" applyBorder="1" applyAlignment="1" applyProtection="1">
      <alignment horizontal="center" vertical="center" shrinkToFit="1"/>
      <protection locked="0"/>
    </xf>
    <xf numFmtId="0" fontId="30" fillId="0" borderId="8" xfId="0" applyFont="1" applyBorder="1" applyAlignment="1">
      <alignment horizontal="center" vertical="center" shrinkToFit="1"/>
    </xf>
    <xf numFmtId="0" fontId="30" fillId="0" borderId="62" xfId="0" applyFont="1" applyBorder="1" applyAlignment="1">
      <alignment horizontal="center" vertical="center" shrinkToFit="1"/>
    </xf>
    <xf numFmtId="49" fontId="34" fillId="11" borderId="8" xfId="0" applyNumberFormat="1" applyFont="1" applyFill="1" applyBorder="1" applyAlignment="1">
      <alignment horizontal="right" vertical="center" shrinkToFit="1"/>
    </xf>
    <xf numFmtId="49" fontId="34" fillId="11" borderId="61" xfId="0" applyNumberFormat="1" applyFont="1" applyFill="1" applyBorder="1" applyAlignment="1">
      <alignment horizontal="right" vertical="center" shrinkToFit="1"/>
    </xf>
    <xf numFmtId="49" fontId="34" fillId="11" borderId="61" xfId="0" applyNumberFormat="1" applyFont="1" applyFill="1" applyBorder="1" applyAlignment="1" applyProtection="1">
      <alignment horizontal="left" vertical="center" shrinkToFit="1"/>
      <protection locked="0"/>
    </xf>
    <xf numFmtId="49" fontId="34" fillId="11" borderId="62" xfId="0" applyNumberFormat="1" applyFont="1" applyFill="1" applyBorder="1" applyAlignment="1" applyProtection="1">
      <alignment horizontal="left" vertical="center" shrinkToFit="1"/>
      <protection locked="0"/>
    </xf>
    <xf numFmtId="49" fontId="29" fillId="0" borderId="0" xfId="0" applyNumberFormat="1" applyFont="1" applyAlignment="1" applyProtection="1">
      <alignment horizontal="left" vertical="center" indent="1" shrinkToFit="1"/>
      <protection locked="0"/>
    </xf>
    <xf numFmtId="0" fontId="34" fillId="0" borderId="0" xfId="0" applyFont="1" applyAlignment="1" applyProtection="1">
      <alignment horizontal="left" vertical="center" shrinkToFit="1"/>
      <protection locked="0"/>
    </xf>
    <xf numFmtId="0" fontId="36" fillId="0" borderId="0" xfId="0" applyFont="1" applyAlignment="1" applyProtection="1">
      <alignment horizontal="left" vertical="center" shrinkToFit="1"/>
      <protection locked="0"/>
    </xf>
    <xf numFmtId="0" fontId="27" fillId="0" borderId="0" xfId="0" applyFont="1" applyAlignment="1" applyProtection="1">
      <alignment horizontal="center" vertical="center" shrinkToFit="1"/>
      <protection locked="0"/>
    </xf>
    <xf numFmtId="0" fontId="30" fillId="0" borderId="8" xfId="0" applyFont="1" applyBorder="1" applyAlignment="1" applyProtection="1">
      <alignment horizontal="distributed" vertical="center" indent="1" shrinkToFit="1"/>
      <protection locked="0"/>
    </xf>
    <xf numFmtId="0" fontId="30" fillId="0" borderId="62" xfId="0" applyFont="1" applyBorder="1" applyAlignment="1" applyProtection="1">
      <alignment horizontal="distributed" vertical="center" indent="1" shrinkToFit="1"/>
      <protection locked="0"/>
    </xf>
    <xf numFmtId="184" fontId="30" fillId="0" borderId="8" xfId="0" applyNumberFormat="1" applyFont="1" applyBorder="1" applyAlignment="1" applyProtection="1">
      <alignment horizontal="center" vertical="center" shrinkToFit="1"/>
      <protection locked="0"/>
    </xf>
    <xf numFmtId="184" fontId="30" fillId="0" borderId="61" xfId="0" applyNumberFormat="1" applyFont="1" applyBorder="1" applyAlignment="1" applyProtection="1">
      <alignment horizontal="center" vertical="center" shrinkToFit="1"/>
      <protection locked="0"/>
    </xf>
    <xf numFmtId="184" fontId="30" fillId="0" borderId="62" xfId="0" applyNumberFormat="1" applyFont="1" applyBorder="1" applyAlignment="1" applyProtection="1">
      <alignment horizontal="center" vertical="center" shrinkToFit="1"/>
      <protection locked="0"/>
    </xf>
    <xf numFmtId="0" fontId="30" fillId="0" borderId="8" xfId="0" applyFont="1" applyBorder="1" applyAlignment="1" applyProtection="1">
      <alignment horizontal="center" vertical="center" shrinkToFit="1"/>
      <protection locked="0"/>
    </xf>
    <xf numFmtId="0" fontId="30" fillId="0" borderId="62" xfId="0" applyFont="1" applyBorder="1" applyAlignment="1" applyProtection="1">
      <alignment horizontal="center" vertical="center" shrinkToFit="1"/>
      <protection locked="0"/>
    </xf>
    <xf numFmtId="49" fontId="30" fillId="0" borderId="8" xfId="0" applyNumberFormat="1" applyFont="1" applyBorder="1" applyAlignment="1" applyProtection="1">
      <alignment horizontal="center" vertical="center" shrinkToFit="1"/>
      <protection locked="0"/>
    </xf>
    <xf numFmtId="49" fontId="30" fillId="0" borderId="61" xfId="0" applyNumberFormat="1" applyFont="1" applyBorder="1" applyAlignment="1" applyProtection="1">
      <alignment horizontal="center" vertical="center" shrinkToFit="1"/>
      <protection locked="0"/>
    </xf>
    <xf numFmtId="49" fontId="30" fillId="0" borderId="62" xfId="0" applyNumberFormat="1" applyFont="1" applyBorder="1" applyAlignment="1" applyProtection="1">
      <alignment horizontal="center" vertical="center" shrinkToFit="1"/>
      <protection locked="0"/>
    </xf>
    <xf numFmtId="0" fontId="33" fillId="0" borderId="0" xfId="0" applyFont="1" applyAlignment="1" applyProtection="1">
      <alignment horizontal="left" vertical="center" shrinkToFit="1"/>
      <protection locked="0"/>
    </xf>
    <xf numFmtId="0" fontId="33" fillId="0" borderId="0" xfId="0" applyFont="1" applyAlignment="1" applyProtection="1">
      <alignment vertical="center" shrinkToFit="1"/>
      <protection locked="0"/>
    </xf>
    <xf numFmtId="6" fontId="34" fillId="0" borderId="0" xfId="0" applyNumberFormat="1" applyFont="1" applyAlignment="1">
      <alignment horizontal="center" vertical="center" shrinkToFit="1"/>
    </xf>
    <xf numFmtId="0" fontId="29" fillId="0" borderId="39" xfId="0" applyFont="1" applyBorder="1" applyAlignment="1" applyProtection="1">
      <alignment horizontal="center" vertical="center" shrinkToFit="1"/>
      <protection locked="0"/>
    </xf>
    <xf numFmtId="0" fontId="29" fillId="0" borderId="5" xfId="0" applyFont="1" applyBorder="1" applyAlignment="1" applyProtection="1">
      <alignment horizontal="center" vertical="center" shrinkToFit="1"/>
      <protection locked="0"/>
    </xf>
    <xf numFmtId="0" fontId="30" fillId="0" borderId="30" xfId="0" applyFont="1" applyBorder="1" applyAlignment="1" applyProtection="1">
      <alignment horizontal="distributed" vertical="center" wrapText="1" indent="1" shrinkToFit="1"/>
      <protection locked="0"/>
    </xf>
    <xf numFmtId="0" fontId="30" fillId="0" borderId="32" xfId="0" applyFont="1" applyBorder="1" applyAlignment="1" applyProtection="1">
      <alignment horizontal="distributed" vertical="center" indent="1" shrinkToFit="1"/>
      <protection locked="0"/>
    </xf>
    <xf numFmtId="0" fontId="30" fillId="0" borderId="57" xfId="0" applyFont="1" applyBorder="1" applyAlignment="1" applyProtection="1">
      <alignment horizontal="distributed" vertical="center" indent="1" shrinkToFit="1"/>
      <protection locked="0"/>
    </xf>
    <xf numFmtId="0" fontId="30" fillId="0" borderId="80" xfId="0" applyFont="1" applyBorder="1" applyAlignment="1" applyProtection="1">
      <alignment horizontal="distributed" vertical="center" indent="1" shrinkToFit="1"/>
      <protection locked="0"/>
    </xf>
    <xf numFmtId="186" fontId="34" fillId="0" borderId="21" xfId="1" applyNumberFormat="1" applyFont="1" applyBorder="1" applyAlignment="1" applyProtection="1">
      <alignment horizontal="right" vertical="center" shrinkToFit="1"/>
      <protection locked="0"/>
    </xf>
    <xf numFmtId="186" fontId="34" fillId="0" borderId="86" xfId="1" applyNumberFormat="1" applyFont="1" applyBorder="1" applyAlignment="1" applyProtection="1">
      <alignment horizontal="right" vertical="center" shrinkToFit="1"/>
      <protection locked="0"/>
    </xf>
    <xf numFmtId="186" fontId="34" fillId="0" borderId="22" xfId="1" applyNumberFormat="1" applyFont="1" applyBorder="1" applyAlignment="1" applyProtection="1">
      <alignment horizontal="right" vertical="center" shrinkToFit="1"/>
      <protection locked="0"/>
    </xf>
    <xf numFmtId="38" fontId="34" fillId="8" borderId="88" xfId="1" applyFont="1" applyFill="1" applyBorder="1" applyAlignment="1" applyProtection="1">
      <alignment horizontal="right" vertical="center" shrinkToFit="1"/>
      <protection locked="0"/>
    </xf>
    <xf numFmtId="38" fontId="34" fillId="8" borderId="89" xfId="1" applyFont="1" applyFill="1" applyBorder="1" applyAlignment="1" applyProtection="1">
      <alignment horizontal="right" vertical="center" shrinkToFit="1"/>
      <protection locked="0"/>
    </xf>
    <xf numFmtId="38" fontId="34" fillId="2" borderId="31" xfId="1" applyFont="1" applyFill="1" applyBorder="1" applyAlignment="1" applyProtection="1">
      <alignment horizontal="right" vertical="center" shrinkToFit="1"/>
      <protection locked="0"/>
    </xf>
    <xf numFmtId="38" fontId="34" fillId="2" borderId="71" xfId="1" applyFont="1" applyFill="1" applyBorder="1" applyAlignment="1" applyProtection="1">
      <alignment horizontal="right" vertical="center" shrinkToFit="1"/>
      <protection locked="0"/>
    </xf>
    <xf numFmtId="38" fontId="34" fillId="0" borderId="88" xfId="1" applyFont="1" applyFill="1" applyBorder="1" applyAlignment="1" applyProtection="1">
      <alignment horizontal="right" vertical="center" shrinkToFit="1"/>
      <protection locked="0"/>
    </xf>
    <xf numFmtId="38" fontId="34" fillId="0" borderId="89" xfId="1" applyFont="1" applyFill="1" applyBorder="1" applyAlignment="1" applyProtection="1">
      <alignment horizontal="right" vertical="center" shrinkToFit="1"/>
      <protection locked="0"/>
    </xf>
    <xf numFmtId="38" fontId="34" fillId="0" borderId="31" xfId="1" applyFont="1" applyFill="1" applyBorder="1" applyAlignment="1" applyProtection="1">
      <alignment horizontal="center" vertical="center" shrinkToFit="1"/>
      <protection locked="0"/>
    </xf>
    <xf numFmtId="38" fontId="34" fillId="0" borderId="71" xfId="1" applyFont="1" applyFill="1" applyBorder="1" applyAlignment="1" applyProtection="1">
      <alignment horizontal="center" vertical="center" shrinkToFit="1"/>
      <protection locked="0"/>
    </xf>
    <xf numFmtId="0" fontId="31" fillId="6" borderId="8" xfId="11" applyFont="1" applyFill="1" applyBorder="1" applyAlignment="1" applyProtection="1">
      <alignment horizontal="distributed" vertical="center" indent="5" shrinkToFit="1"/>
      <protection locked="0"/>
    </xf>
    <xf numFmtId="0" fontId="31" fillId="6" borderId="61" xfId="11" applyFont="1" applyFill="1" applyBorder="1" applyAlignment="1" applyProtection="1">
      <alignment horizontal="distributed" vertical="center" indent="5" shrinkToFit="1"/>
      <protection locked="0"/>
    </xf>
    <xf numFmtId="0" fontId="31" fillId="6" borderId="62" xfId="11" applyFont="1" applyFill="1" applyBorder="1" applyAlignment="1" applyProtection="1">
      <alignment horizontal="distributed" vertical="center" indent="5" shrinkToFit="1"/>
      <protection locked="0"/>
    </xf>
    <xf numFmtId="0" fontId="31" fillId="7" borderId="34" xfId="0" applyFont="1" applyFill="1" applyBorder="1" applyAlignment="1" applyProtection="1">
      <alignment horizontal="distributed" vertical="center" wrapText="1" indent="1" shrinkToFit="1"/>
      <protection locked="0"/>
    </xf>
    <xf numFmtId="0" fontId="31" fillId="7" borderId="9" xfId="0" applyFont="1" applyFill="1" applyBorder="1" applyAlignment="1" applyProtection="1">
      <alignment horizontal="distributed" vertical="center" indent="1" shrinkToFit="1"/>
      <protection locked="0"/>
    </xf>
    <xf numFmtId="0" fontId="31" fillId="7" borderId="35" xfId="0" applyFont="1" applyFill="1" applyBorder="1" applyAlignment="1" applyProtection="1">
      <alignment horizontal="distributed" vertical="center" indent="1" shrinkToFit="1"/>
      <protection locked="0"/>
    </xf>
    <xf numFmtId="0" fontId="31" fillId="7" borderId="83" xfId="0" applyFont="1" applyFill="1" applyBorder="1" applyAlignment="1" applyProtection="1">
      <alignment horizontal="distributed" vertical="center" wrapText="1" indent="1" shrinkToFit="1"/>
      <protection locked="0"/>
    </xf>
    <xf numFmtId="0" fontId="31" fillId="7" borderId="83" xfId="0" applyFont="1" applyFill="1" applyBorder="1" applyAlignment="1" applyProtection="1">
      <alignment horizontal="distributed" vertical="center" indent="1" shrinkToFit="1"/>
      <protection locked="0"/>
    </xf>
    <xf numFmtId="0" fontId="31" fillId="7" borderId="84" xfId="0" applyFont="1" applyFill="1" applyBorder="1" applyAlignment="1" applyProtection="1">
      <alignment horizontal="distributed" vertical="center" indent="1" shrinkToFit="1"/>
      <protection locked="0"/>
    </xf>
    <xf numFmtId="0" fontId="31" fillId="2" borderId="8" xfId="0" applyFont="1" applyFill="1" applyBorder="1" applyAlignment="1" applyProtection="1">
      <alignment horizontal="distributed" vertical="center" wrapText="1" indent="1" shrinkToFit="1"/>
      <protection locked="0"/>
    </xf>
    <xf numFmtId="0" fontId="31" fillId="2" borderId="62" xfId="0" applyFont="1" applyFill="1" applyBorder="1" applyAlignment="1" applyProtection="1">
      <alignment horizontal="distributed" vertical="center" indent="1" shrinkToFit="1"/>
      <protection locked="0"/>
    </xf>
    <xf numFmtId="0" fontId="31" fillId="0" borderId="83" xfId="0" applyFont="1" applyBorder="1" applyAlignment="1" applyProtection="1">
      <alignment horizontal="distributed" vertical="center" wrapText="1" indent="1" shrinkToFit="1"/>
      <protection locked="0"/>
    </xf>
    <xf numFmtId="0" fontId="31" fillId="0" borderId="83" xfId="0" applyFont="1" applyBorder="1" applyAlignment="1" applyProtection="1">
      <alignment horizontal="distributed" vertical="center" indent="1" shrinkToFit="1"/>
      <protection locked="0"/>
    </xf>
    <xf numFmtId="0" fontId="31" fillId="0" borderId="84" xfId="0" applyFont="1" applyBorder="1" applyAlignment="1" applyProtection="1">
      <alignment horizontal="distributed" vertical="center" indent="1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62" xfId="0" applyFont="1" applyBorder="1" applyAlignment="1" applyProtection="1">
      <alignment horizontal="center" vertical="center" shrinkToFit="1"/>
      <protection locked="0"/>
    </xf>
    <xf numFmtId="186" fontId="34" fillId="0" borderId="39" xfId="1" applyNumberFormat="1" applyFont="1" applyBorder="1" applyAlignment="1" applyProtection="1">
      <alignment horizontal="right" vertical="center" shrinkToFit="1"/>
      <protection locked="0"/>
    </xf>
    <xf numFmtId="186" fontId="34" fillId="0" borderId="1" xfId="1" applyNumberFormat="1" applyFont="1" applyBorder="1" applyAlignment="1" applyProtection="1">
      <alignment horizontal="right" vertical="center" shrinkToFit="1"/>
      <protection locked="0"/>
    </xf>
    <xf numFmtId="186" fontId="34" fillId="0" borderId="40" xfId="1" applyNumberFormat="1" applyFont="1" applyBorder="1" applyAlignment="1" applyProtection="1">
      <alignment horizontal="right" vertical="center" shrinkToFit="1"/>
      <protection locked="0"/>
    </xf>
    <xf numFmtId="38" fontId="34" fillId="8" borderId="92" xfId="1" applyFont="1" applyFill="1" applyBorder="1" applyAlignment="1" applyProtection="1">
      <alignment horizontal="right" vertical="center" shrinkToFit="1"/>
      <protection locked="0"/>
    </xf>
    <xf numFmtId="38" fontId="34" fillId="8" borderId="93" xfId="1" applyFont="1" applyFill="1" applyBorder="1" applyAlignment="1" applyProtection="1">
      <alignment horizontal="right" vertical="center" shrinkToFit="1"/>
      <protection locked="0"/>
    </xf>
    <xf numFmtId="38" fontId="34" fillId="2" borderId="49" xfId="1" applyFont="1" applyFill="1" applyBorder="1" applyAlignment="1" applyProtection="1">
      <alignment horizontal="right" vertical="center" shrinkToFit="1"/>
      <protection locked="0"/>
    </xf>
    <xf numFmtId="38" fontId="34" fillId="2" borderId="72" xfId="1" applyFont="1" applyFill="1" applyBorder="1" applyAlignment="1" applyProtection="1">
      <alignment horizontal="right" vertical="center" shrinkToFit="1"/>
      <protection locked="0"/>
    </xf>
    <xf numFmtId="38" fontId="34" fillId="0" borderId="92" xfId="1" applyFont="1" applyFill="1" applyBorder="1" applyAlignment="1" applyProtection="1">
      <alignment horizontal="right" vertical="center" shrinkToFit="1"/>
      <protection locked="0"/>
    </xf>
    <xf numFmtId="38" fontId="34" fillId="0" borderId="93" xfId="1" applyFont="1" applyFill="1" applyBorder="1" applyAlignment="1" applyProtection="1">
      <alignment horizontal="right" vertical="center" shrinkToFit="1"/>
      <protection locked="0"/>
    </xf>
    <xf numFmtId="38" fontId="34" fillId="0" borderId="49" xfId="1" applyFont="1" applyFill="1" applyBorder="1" applyAlignment="1" applyProtection="1">
      <alignment horizontal="center" vertical="center" shrinkToFit="1"/>
      <protection locked="0"/>
    </xf>
    <xf numFmtId="38" fontId="34" fillId="0" borderId="72" xfId="1" applyFont="1" applyFill="1" applyBorder="1" applyAlignment="1" applyProtection="1">
      <alignment horizontal="center" vertical="center" shrinkToFit="1"/>
      <protection locked="0"/>
    </xf>
    <xf numFmtId="0" fontId="30" fillId="8" borderId="31" xfId="0" applyFont="1" applyFill="1" applyBorder="1" applyAlignment="1" applyProtection="1">
      <alignment horizontal="distributed" vertical="center" indent="2" shrinkToFit="1"/>
      <protection locked="0"/>
    </xf>
    <xf numFmtId="0" fontId="30" fillId="8" borderId="67" xfId="0" applyFont="1" applyFill="1" applyBorder="1" applyAlignment="1" applyProtection="1">
      <alignment horizontal="distributed" vertical="center" indent="2" shrinkToFit="1"/>
      <protection locked="0"/>
    </xf>
    <xf numFmtId="0" fontId="30" fillId="8" borderId="71" xfId="0" applyFont="1" applyFill="1" applyBorder="1" applyAlignment="1" applyProtection="1">
      <alignment horizontal="distributed" vertical="center" indent="2" shrinkToFit="1"/>
      <protection locked="0"/>
    </xf>
    <xf numFmtId="0" fontId="30" fillId="0" borderId="49" xfId="0" applyFont="1" applyBorder="1" applyAlignment="1" applyProtection="1">
      <alignment horizontal="distributed" vertical="center" indent="2" shrinkToFit="1"/>
      <protection locked="0"/>
    </xf>
    <xf numFmtId="0" fontId="30" fillId="0" borderId="55" xfId="0" applyFont="1" applyBorder="1" applyAlignment="1" applyProtection="1">
      <alignment horizontal="distributed" vertical="center" indent="2" shrinkToFit="1"/>
      <protection locked="0"/>
    </xf>
    <xf numFmtId="0" fontId="30" fillId="0" borderId="72" xfId="0" applyFont="1" applyBorder="1" applyAlignment="1" applyProtection="1">
      <alignment horizontal="distributed" vertical="center" indent="2" shrinkToFit="1"/>
      <protection locked="0"/>
    </xf>
    <xf numFmtId="6" fontId="34" fillId="0" borderId="99" xfId="2" applyFont="1" applyBorder="1" applyAlignment="1">
      <alignment horizontal="right" vertical="center" shrinkToFit="1"/>
    </xf>
    <xf numFmtId="6" fontId="34" fillId="0" borderId="72" xfId="2" applyFont="1" applyBorder="1" applyAlignment="1">
      <alignment horizontal="right" vertical="center" shrinkToFit="1"/>
    </xf>
    <xf numFmtId="6" fontId="34" fillId="0" borderId="92" xfId="2" applyFont="1" applyBorder="1" applyAlignment="1">
      <alignment horizontal="right" vertical="center" shrinkToFit="1"/>
    </xf>
    <xf numFmtId="6" fontId="34" fillId="0" borderId="93" xfId="2" applyFont="1" applyBorder="1" applyAlignment="1">
      <alignment horizontal="right" vertical="center" shrinkToFit="1"/>
    </xf>
    <xf numFmtId="186" fontId="34" fillId="0" borderId="5" xfId="1" applyNumberFormat="1" applyFont="1" applyBorder="1" applyAlignment="1" applyProtection="1">
      <alignment horizontal="right" vertical="center" shrinkToFit="1"/>
      <protection locked="0"/>
    </xf>
    <xf numFmtId="186" fontId="34" fillId="0" borderId="6" xfId="1" applyNumberFormat="1" applyFont="1" applyBorder="1" applyAlignment="1" applyProtection="1">
      <alignment horizontal="right" vertical="center" shrinkToFit="1"/>
      <protection locked="0"/>
    </xf>
    <xf numFmtId="186" fontId="34" fillId="0" borderId="7" xfId="1" applyNumberFormat="1" applyFont="1" applyBorder="1" applyAlignment="1" applyProtection="1">
      <alignment horizontal="right" vertical="center" shrinkToFit="1"/>
      <protection locked="0"/>
    </xf>
    <xf numFmtId="38" fontId="34" fillId="8" borderId="96" xfId="1" applyFont="1" applyFill="1" applyBorder="1" applyAlignment="1" applyProtection="1">
      <alignment horizontal="right" vertical="center" shrinkToFit="1"/>
      <protection locked="0"/>
    </xf>
    <xf numFmtId="38" fontId="34" fillId="8" borderId="97" xfId="1" applyFont="1" applyFill="1" applyBorder="1" applyAlignment="1" applyProtection="1">
      <alignment horizontal="right" vertical="center" shrinkToFit="1"/>
      <protection locked="0"/>
    </xf>
    <xf numFmtId="38" fontId="34" fillId="2" borderId="23" xfId="1" applyFont="1" applyFill="1" applyBorder="1" applyAlignment="1" applyProtection="1">
      <alignment horizontal="right" vertical="center" shrinkToFit="1"/>
      <protection locked="0"/>
    </xf>
    <xf numFmtId="38" fontId="34" fillId="2" borderId="70" xfId="1" applyFont="1" applyFill="1" applyBorder="1" applyAlignment="1" applyProtection="1">
      <alignment horizontal="right" vertical="center" shrinkToFit="1"/>
      <protection locked="0"/>
    </xf>
    <xf numFmtId="38" fontId="34" fillId="0" borderId="96" xfId="1" applyFont="1" applyFill="1" applyBorder="1" applyAlignment="1" applyProtection="1">
      <alignment horizontal="right" vertical="center" shrinkToFit="1"/>
      <protection locked="0"/>
    </xf>
    <xf numFmtId="38" fontId="34" fillId="0" borderId="97" xfId="1" applyFont="1" applyFill="1" applyBorder="1" applyAlignment="1" applyProtection="1">
      <alignment horizontal="right" vertical="center" shrinkToFit="1"/>
      <protection locked="0"/>
    </xf>
    <xf numFmtId="38" fontId="34" fillId="0" borderId="23" xfId="1" applyFont="1" applyFill="1" applyBorder="1" applyAlignment="1" applyProtection="1">
      <alignment horizontal="center" vertical="center" shrinkToFit="1"/>
      <protection locked="0"/>
    </xf>
    <xf numFmtId="38" fontId="34" fillId="0" borderId="70" xfId="1" applyFont="1" applyFill="1" applyBorder="1" applyAlignment="1" applyProtection="1">
      <alignment horizontal="center" vertical="center" shrinkToFit="1"/>
      <protection locked="0"/>
    </xf>
    <xf numFmtId="0" fontId="30" fillId="0" borderId="8" xfId="0" applyFont="1" applyBorder="1" applyAlignment="1" applyProtection="1">
      <alignment horizontal="distributed" vertical="center" indent="2" shrinkToFit="1"/>
      <protection locked="0"/>
    </xf>
    <xf numFmtId="0" fontId="30" fillId="0" borderId="61" xfId="0" applyFont="1" applyBorder="1" applyAlignment="1" applyProtection="1">
      <alignment horizontal="distributed" vertical="center" indent="2" shrinkToFit="1"/>
      <protection locked="0"/>
    </xf>
    <xf numFmtId="6" fontId="34" fillId="0" borderId="8" xfId="2" applyFont="1" applyBorder="1" applyAlignment="1">
      <alignment horizontal="right" vertical="center" shrinkToFit="1"/>
    </xf>
    <xf numFmtId="6" fontId="34" fillId="0" borderId="61" xfId="2" applyFont="1" applyBorder="1" applyAlignment="1">
      <alignment horizontal="right" vertical="center" shrinkToFit="1"/>
    </xf>
    <xf numFmtId="6" fontId="34" fillId="0" borderId="62" xfId="2" applyFont="1" applyBorder="1" applyAlignment="1">
      <alignment horizontal="right" vertical="center" shrinkToFit="1"/>
    </xf>
    <xf numFmtId="0" fontId="30" fillId="10" borderId="23" xfId="0" applyFont="1" applyFill="1" applyBorder="1" applyAlignment="1" applyProtection="1">
      <alignment horizontal="distributed" vertical="center" indent="2" shrinkToFit="1"/>
      <protection locked="0"/>
    </xf>
    <xf numFmtId="0" fontId="30" fillId="10" borderId="44" xfId="0" applyFont="1" applyFill="1" applyBorder="1" applyAlignment="1" applyProtection="1">
      <alignment horizontal="distributed" vertical="center" indent="2" shrinkToFit="1"/>
      <protection locked="0"/>
    </xf>
    <xf numFmtId="0" fontId="30" fillId="10" borderId="70" xfId="0" applyFont="1" applyFill="1" applyBorder="1" applyAlignment="1" applyProtection="1">
      <alignment horizontal="distributed" vertical="center" indent="2" shrinkToFit="1"/>
      <protection locked="0"/>
    </xf>
    <xf numFmtId="0" fontId="30" fillId="2" borderId="31" xfId="0" applyFont="1" applyFill="1" applyBorder="1" applyAlignment="1" applyProtection="1">
      <alignment horizontal="distributed" vertical="center" indent="2" shrinkToFit="1"/>
      <protection locked="0"/>
    </xf>
    <xf numFmtId="0" fontId="30" fillId="2" borderId="67" xfId="0" applyFont="1" applyFill="1" applyBorder="1" applyAlignment="1" applyProtection="1">
      <alignment horizontal="distributed" vertical="center" indent="2" shrinkToFit="1"/>
      <protection locked="0"/>
    </xf>
  </cellXfs>
  <cellStyles count="12">
    <cellStyle name="チェック セル" xfId="11" builtinId="23"/>
    <cellStyle name="パーセント" xfId="10" builtinId="5"/>
    <cellStyle name="桁区切り" xfId="1" builtinId="6"/>
    <cellStyle name="桁区切り 2" xfId="3" xr:uid="{00000000-0005-0000-0000-000001000000}"/>
    <cellStyle name="桁区切り 2 2" xfId="7" xr:uid="{00000000-0005-0000-0000-000002000000}"/>
    <cellStyle name="桁区切り 3" xfId="4" xr:uid="{00000000-0005-0000-0000-000003000000}"/>
    <cellStyle name="通貨" xfId="2" builtinId="7"/>
    <cellStyle name="標準" xfId="0" builtinId="0"/>
    <cellStyle name="標準 2" xfId="5" xr:uid="{00000000-0005-0000-0000-000006000000}"/>
    <cellStyle name="標準 2 2" xfId="8" xr:uid="{00000000-0005-0000-0000-000007000000}"/>
    <cellStyle name="標準 3" xfId="6" xr:uid="{00000000-0005-0000-0000-000008000000}"/>
    <cellStyle name="標準 4" xfId="9" xr:uid="{00000000-0005-0000-0000-000009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5685857-77DE-4548-97A9-48149D0213F3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B4304BB-48AB-485E-975B-A0C5BE0C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E8588E2-481E-4D3F-84DE-E7D75D08C703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5A0EA2C-888E-4AD4-AF0E-3761B824280E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E6F875C-8EFD-4CD2-8651-F9A78297BD5B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87E330-2A8A-4CBE-B718-8B0EFD918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CD86834-896C-4AF3-980E-9560D9D43FE3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E875DF9-FA5C-444F-9A7B-9F71DA21E9E7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04AEFF7-E32F-425E-9EBA-0CD84FD2144D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F9FCDA6-3DCB-431A-A6AF-29E437F0C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1C1BEB3-DBDD-419E-835E-33AB7FBFEC49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92A7941-B7F9-4EA4-B27F-212265205F64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7C200FE-3E63-45C6-B780-2D93D57A85D5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5D5C957-22BC-403B-BA36-CF1CB6745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51D9DA3-9978-434F-AFC5-A9A2996B112F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94B984F-5F2E-458A-B767-F61FE1030FE8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B02DCB7-22D4-4729-BD58-B444F6679F4D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73BF2B6-4F04-4CE4-B95B-9E8602473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BEB672-E0CF-4001-A168-FFC0EDBC17A3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90347DF-358B-4DCC-AF0F-40F22D55CB54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797C9C4-A453-40C9-8E79-C566EC485E0F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0D7FFF-C774-4C29-AD18-9A7A7750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A93E649-55D7-48D2-A332-90C2E05D222C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  <xdr:twoCellAnchor>
    <xdr:from>
      <xdr:col>21</xdr:col>
      <xdr:colOff>102534</xdr:colOff>
      <xdr:row>6</xdr:row>
      <xdr:rowOff>179855</xdr:rowOff>
    </xdr:from>
    <xdr:to>
      <xdr:col>21</xdr:col>
      <xdr:colOff>569259</xdr:colOff>
      <xdr:row>8</xdr:row>
      <xdr:rowOff>94130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866F005-B1EE-4397-9438-1928445648EA}"/>
            </a:ext>
          </a:extLst>
        </xdr:cNvPr>
        <xdr:cNvSpPr txBox="1"/>
      </xdr:nvSpPr>
      <xdr:spPr>
        <a:xfrm>
          <a:off x="11637309" y="1732430"/>
          <a:ext cx="466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印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381A6CC-C408-49D7-9258-3565102C0780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6FAE14-33F9-40EB-A497-CBFE18A0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E42A1E2-9C12-4FAC-9335-0636CDE85602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F25C0E7-E592-49BB-93E6-A0118FCE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461884</xdr:colOff>
      <xdr:row>28</xdr:row>
      <xdr:rowOff>41461</xdr:rowOff>
    </xdr:from>
    <xdr:to>
      <xdr:col>4</xdr:col>
      <xdr:colOff>56461</xdr:colOff>
      <xdr:row>29</xdr:row>
      <xdr:rowOff>210369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AEB1435-1081-476B-9B36-B23D901899D6}"/>
            </a:ext>
          </a:extLst>
        </xdr:cNvPr>
        <xdr:cNvSpPr txBox="1"/>
      </xdr:nvSpPr>
      <xdr:spPr>
        <a:xfrm>
          <a:off x="766684" y="7280461"/>
          <a:ext cx="1490052" cy="292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弊社使用欄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98053</xdr:rowOff>
    </xdr:from>
    <xdr:to>
      <xdr:col>8</xdr:col>
      <xdr:colOff>134967</xdr:colOff>
      <xdr:row>34</xdr:row>
      <xdr:rowOff>211232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33F61E1-D853-4127-A78E-77F8FC1DA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708528"/>
          <a:ext cx="4173567" cy="110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00"/>
  <sheetViews>
    <sheetView tabSelected="1" view="pageBreakPreview" topLeftCell="A235" zoomScaleNormal="100" zoomScaleSheetLayoutView="100" workbookViewId="0">
      <selection activeCell="D242" sqref="D242:E242"/>
    </sheetView>
  </sheetViews>
  <sheetFormatPr defaultRowHeight="13.5" outlineLevelRow="1"/>
  <cols>
    <col min="1" max="1" width="9" customWidth="1"/>
    <col min="5" max="5" width="9" customWidth="1"/>
    <col min="7" max="7" width="9" customWidth="1"/>
    <col min="8" max="8" width="5.625" customWidth="1"/>
    <col min="9" max="9" width="4" customWidth="1"/>
  </cols>
  <sheetData>
    <row r="1" spans="1:13" ht="17.25" customHeight="1">
      <c r="A1" s="238" t="s">
        <v>43</v>
      </c>
      <c r="B1" s="238"/>
      <c r="C1" s="238"/>
      <c r="D1" s="238"/>
      <c r="E1" s="238"/>
      <c r="F1" s="238"/>
      <c r="G1" t="s">
        <v>84</v>
      </c>
      <c r="H1" s="254"/>
      <c r="I1" s="254"/>
      <c r="J1" s="254"/>
      <c r="M1" s="119"/>
    </row>
    <row r="2" spans="1:13" ht="23.25" customHeight="1" thickBot="1">
      <c r="A2" s="239"/>
      <c r="B2" s="239"/>
      <c r="C2" s="239"/>
      <c r="D2" s="239"/>
      <c r="E2" s="239"/>
      <c r="F2" s="239"/>
      <c r="G2" s="84" t="s">
        <v>44</v>
      </c>
      <c r="H2" s="255" t="s">
        <v>128</v>
      </c>
      <c r="I2" s="255"/>
      <c r="J2" s="255"/>
      <c r="M2" s="120"/>
    </row>
    <row r="3" spans="1:13" ht="20.25" customHeight="1">
      <c r="A3" s="115" t="s">
        <v>15</v>
      </c>
      <c r="B3" s="240" t="s">
        <v>129</v>
      </c>
      <c r="C3" s="241"/>
      <c r="D3" s="241"/>
      <c r="E3" s="242"/>
      <c r="F3" s="243" t="s">
        <v>16</v>
      </c>
      <c r="G3" s="243"/>
      <c r="H3" s="240"/>
      <c r="I3" s="241"/>
      <c r="J3" s="244"/>
      <c r="M3" s="120"/>
    </row>
    <row r="4" spans="1:13" ht="20.25" customHeight="1">
      <c r="A4" s="245" t="s">
        <v>17</v>
      </c>
      <c r="B4" s="246"/>
      <c r="C4" s="221" t="s">
        <v>130</v>
      </c>
      <c r="D4" s="247"/>
      <c r="E4" s="222"/>
      <c r="F4" s="248" t="s">
        <v>18</v>
      </c>
      <c r="G4" s="249"/>
      <c r="H4" s="89"/>
      <c r="I4" s="250" t="s">
        <v>132</v>
      </c>
      <c r="J4" s="251"/>
      <c r="M4" s="120"/>
    </row>
    <row r="5" spans="1:13" ht="20.25" customHeight="1">
      <c r="A5" s="117" t="s">
        <v>19</v>
      </c>
      <c r="B5" s="221" t="s">
        <v>131</v>
      </c>
      <c r="C5" s="247"/>
      <c r="D5" s="247"/>
      <c r="E5" s="247"/>
      <c r="F5" s="247"/>
      <c r="G5" s="247"/>
      <c r="H5" s="247"/>
      <c r="I5" s="247"/>
      <c r="J5" s="256"/>
    </row>
    <row r="6" spans="1:13" ht="20.25" customHeight="1">
      <c r="A6" s="117" t="s">
        <v>20</v>
      </c>
      <c r="B6" s="221" t="s">
        <v>133</v>
      </c>
      <c r="C6" s="247"/>
      <c r="D6" s="247"/>
      <c r="E6" s="247"/>
      <c r="F6" s="247"/>
      <c r="G6" s="247"/>
      <c r="H6" s="247"/>
      <c r="I6" s="247"/>
      <c r="J6" s="256"/>
    </row>
    <row r="7" spans="1:13" ht="20.25" customHeight="1" thickBot="1">
      <c r="A7" s="114" t="s">
        <v>21</v>
      </c>
      <c r="B7" s="133" t="s">
        <v>127</v>
      </c>
      <c r="C7" s="257" t="s">
        <v>134</v>
      </c>
      <c r="D7" s="258"/>
      <c r="E7" s="101" t="s">
        <v>64</v>
      </c>
      <c r="F7" s="133" t="s">
        <v>136</v>
      </c>
      <c r="G7" s="257" t="s">
        <v>135</v>
      </c>
      <c r="H7" s="258"/>
      <c r="I7" s="258"/>
      <c r="J7" s="87"/>
    </row>
    <row r="8" spans="1:13" ht="20.25" customHeight="1">
      <c r="A8" s="104" t="s">
        <v>52</v>
      </c>
      <c r="B8" s="104"/>
      <c r="C8" s="104"/>
      <c r="D8" s="104"/>
      <c r="E8" s="104"/>
      <c r="F8" s="104"/>
      <c r="G8" s="104"/>
      <c r="H8" s="104"/>
      <c r="I8" s="104"/>
      <c r="J8" s="104"/>
    </row>
    <row r="9" spans="1:13" ht="20.25" customHeight="1">
      <c r="A9" s="116" t="s">
        <v>55</v>
      </c>
      <c r="B9" s="116" t="s">
        <v>54</v>
      </c>
      <c r="C9" s="259" t="s">
        <v>56</v>
      </c>
      <c r="D9" s="259"/>
      <c r="E9" s="259" t="s">
        <v>57</v>
      </c>
      <c r="F9" s="259"/>
      <c r="G9" s="260" t="s">
        <v>51</v>
      </c>
      <c r="H9" s="260"/>
      <c r="I9" s="260"/>
      <c r="J9" s="260"/>
    </row>
    <row r="10" spans="1:13" ht="20.25" customHeight="1">
      <c r="A10" s="105" t="s">
        <v>2</v>
      </c>
      <c r="B10" s="110"/>
      <c r="C10" s="252">
        <v>130730000</v>
      </c>
      <c r="D10" s="252"/>
      <c r="E10" s="252">
        <f>SUM(C10*1.1)</f>
        <v>143803000</v>
      </c>
      <c r="F10" s="252"/>
      <c r="G10" s="253"/>
      <c r="H10" s="253"/>
      <c r="I10" s="253"/>
      <c r="J10" s="253"/>
    </row>
    <row r="11" spans="1:13" ht="20.25" customHeight="1">
      <c r="A11" s="105" t="s">
        <v>110</v>
      </c>
      <c r="B11" s="116"/>
      <c r="C11" s="252"/>
      <c r="D11" s="252"/>
      <c r="E11" s="252">
        <f t="shared" ref="E11:E14" si="0">SUM(C11*1.1)</f>
        <v>0</v>
      </c>
      <c r="F11" s="252"/>
      <c r="G11" s="253"/>
      <c r="H11" s="253"/>
      <c r="I11" s="253"/>
      <c r="J11" s="253"/>
    </row>
    <row r="12" spans="1:13" ht="20.25" customHeight="1">
      <c r="A12" s="105" t="s">
        <v>53</v>
      </c>
      <c r="B12" s="116"/>
      <c r="C12" s="252"/>
      <c r="D12" s="252"/>
      <c r="E12" s="252">
        <f t="shared" si="0"/>
        <v>0</v>
      </c>
      <c r="F12" s="252"/>
      <c r="G12" s="253"/>
      <c r="H12" s="253"/>
      <c r="I12" s="253"/>
      <c r="J12" s="253"/>
    </row>
    <row r="13" spans="1:13" ht="20.25" customHeight="1">
      <c r="A13" s="105" t="s">
        <v>59</v>
      </c>
      <c r="B13" s="116"/>
      <c r="C13" s="252"/>
      <c r="D13" s="252"/>
      <c r="E13" s="252">
        <f t="shared" si="0"/>
        <v>0</v>
      </c>
      <c r="F13" s="252"/>
      <c r="G13" s="253"/>
      <c r="H13" s="253"/>
      <c r="I13" s="253"/>
      <c r="J13" s="253"/>
    </row>
    <row r="14" spans="1:13" ht="20.25" customHeight="1">
      <c r="A14" s="105" t="s">
        <v>61</v>
      </c>
      <c r="B14" s="116"/>
      <c r="C14" s="252"/>
      <c r="D14" s="252"/>
      <c r="E14" s="252">
        <f t="shared" si="0"/>
        <v>0</v>
      </c>
      <c r="F14" s="252"/>
      <c r="G14" s="253"/>
      <c r="H14" s="253"/>
      <c r="I14" s="253"/>
      <c r="J14" s="253"/>
    </row>
    <row r="15" spans="1:13" ht="20.25" customHeight="1">
      <c r="A15" s="116" t="s">
        <v>11</v>
      </c>
      <c r="B15" s="116"/>
      <c r="C15" s="252">
        <f>SUM(C10:D14)</f>
        <v>130730000</v>
      </c>
      <c r="D15" s="252"/>
      <c r="E15" s="252">
        <f>SUM(E10:F14)</f>
        <v>143803000</v>
      </c>
      <c r="F15" s="252"/>
      <c r="G15" s="253"/>
      <c r="H15" s="253"/>
      <c r="I15" s="253"/>
      <c r="J15" s="253"/>
    </row>
    <row r="16" spans="1:13" ht="20.25" customHeight="1" thickBot="1">
      <c r="A16" s="106"/>
      <c r="B16" s="107"/>
      <c r="C16" s="107"/>
      <c r="D16" s="107"/>
      <c r="E16" s="107"/>
      <c r="F16" s="107"/>
      <c r="G16" s="107"/>
      <c r="H16" s="107"/>
      <c r="I16" s="107"/>
      <c r="J16" s="107"/>
    </row>
    <row r="17" spans="1:10" ht="20.25" customHeight="1" outlineLevel="1" thickBot="1">
      <c r="A17" s="264" t="s">
        <v>42</v>
      </c>
      <c r="B17" s="275"/>
      <c r="C17" s="275"/>
      <c r="D17" s="265"/>
      <c r="E17" s="264" t="s">
        <v>41</v>
      </c>
      <c r="F17" s="265"/>
      <c r="G17" s="266">
        <f>SUM(C15)</f>
        <v>130730000</v>
      </c>
      <c r="H17" s="267"/>
      <c r="I17" s="267"/>
      <c r="J17" s="268"/>
    </row>
    <row r="18" spans="1:10" ht="20.25" customHeight="1" outlineLevel="1">
      <c r="A18" s="98"/>
      <c r="B18" s="97"/>
      <c r="E18" s="271" t="s">
        <v>111</v>
      </c>
      <c r="F18" s="272"/>
      <c r="G18" s="273">
        <f>G17*0.1</f>
        <v>13073000</v>
      </c>
      <c r="H18" s="273"/>
      <c r="I18" s="273"/>
      <c r="J18" s="274"/>
    </row>
    <row r="19" spans="1:10" ht="20.25" customHeight="1" outlineLevel="1" thickBot="1">
      <c r="E19" s="276" t="s">
        <v>22</v>
      </c>
      <c r="F19" s="277"/>
      <c r="G19" s="278">
        <f>SUM(G17*1.1)</f>
        <v>143803000</v>
      </c>
      <c r="H19" s="278"/>
      <c r="I19" s="278"/>
      <c r="J19" s="279"/>
    </row>
    <row r="20" spans="1:10" ht="20.25" customHeight="1" outlineLevel="1" thickBot="1"/>
    <row r="21" spans="1:10" ht="20.25" customHeight="1" outlineLevel="1" thickBot="1">
      <c r="A21" s="261" t="s">
        <v>112</v>
      </c>
      <c r="B21" s="262"/>
      <c r="C21" s="262"/>
      <c r="D21" s="263"/>
      <c r="E21" s="264" t="s">
        <v>41</v>
      </c>
      <c r="F21" s="265"/>
      <c r="G21" s="266">
        <f>G17*0.78</f>
        <v>101969400</v>
      </c>
      <c r="H21" s="267"/>
      <c r="I21" s="267"/>
      <c r="J21" s="268"/>
    </row>
    <row r="22" spans="1:10" ht="20.25" customHeight="1" outlineLevel="1">
      <c r="B22" s="269"/>
      <c r="C22" s="270"/>
      <c r="E22" s="271" t="s">
        <v>111</v>
      </c>
      <c r="F22" s="272"/>
      <c r="G22" s="273">
        <f>G21*0.1</f>
        <v>10196940</v>
      </c>
      <c r="H22" s="273"/>
      <c r="I22" s="273"/>
      <c r="J22" s="274"/>
    </row>
    <row r="23" spans="1:10" ht="20.25" customHeight="1" outlineLevel="1" thickBot="1">
      <c r="E23" s="276" t="s">
        <v>22</v>
      </c>
      <c r="F23" s="277"/>
      <c r="G23" s="278">
        <f>G22+G21</f>
        <v>112166340</v>
      </c>
      <c r="H23" s="278"/>
      <c r="I23" s="285"/>
      <c r="J23" s="286"/>
    </row>
    <row r="24" spans="1:10" ht="20.25" customHeight="1" outlineLevel="1" thickBot="1">
      <c r="A24" s="254"/>
      <c r="B24" s="254"/>
      <c r="C24" s="287"/>
      <c r="D24" s="287"/>
      <c r="E24" s="287"/>
      <c r="F24" s="287"/>
      <c r="G24" s="287"/>
      <c r="H24" s="287"/>
      <c r="I24" s="287"/>
      <c r="J24" s="287"/>
    </row>
    <row r="25" spans="1:10" ht="20.25" customHeight="1" outlineLevel="1">
      <c r="A25" s="288" t="s">
        <v>23</v>
      </c>
      <c r="B25" s="289"/>
      <c r="C25" s="240"/>
      <c r="D25" s="241"/>
      <c r="E25" s="85" t="s">
        <v>65</v>
      </c>
      <c r="F25" s="85"/>
      <c r="G25" s="85" t="s">
        <v>66</v>
      </c>
      <c r="H25" s="123">
        <v>100</v>
      </c>
      <c r="I25" s="122"/>
      <c r="J25" s="124">
        <f>SUM(C26/C15)</f>
        <v>0</v>
      </c>
    </row>
    <row r="26" spans="1:10" ht="20.25" customHeight="1" outlineLevel="1" thickBot="1">
      <c r="A26" s="276" t="s">
        <v>24</v>
      </c>
      <c r="B26" s="277"/>
      <c r="C26" s="280"/>
      <c r="D26" s="281"/>
      <c r="E26" s="281"/>
      <c r="F26" s="281"/>
      <c r="G26" s="281"/>
      <c r="H26" s="88"/>
      <c r="I26" s="86" t="s">
        <v>67</v>
      </c>
      <c r="J26" s="87"/>
    </row>
    <row r="27" spans="1:10" ht="20.25" customHeight="1" outlineLevel="1">
      <c r="A27" s="45"/>
      <c r="B27" s="46"/>
      <c r="E27" s="271" t="s">
        <v>111</v>
      </c>
      <c r="F27" s="272"/>
      <c r="G27" s="282">
        <f>C26*0.1</f>
        <v>0</v>
      </c>
      <c r="H27" s="282"/>
      <c r="I27" s="282"/>
      <c r="J27" s="283"/>
    </row>
    <row r="28" spans="1:10" ht="20.25" customHeight="1" outlineLevel="1" thickBot="1">
      <c r="A28" s="99"/>
      <c r="B28" s="99"/>
      <c r="E28" s="276" t="s">
        <v>22</v>
      </c>
      <c r="F28" s="277"/>
      <c r="G28" s="284">
        <f>SUM(C26*1.1)</f>
        <v>0</v>
      </c>
      <c r="H28" s="284"/>
      <c r="I28" s="285"/>
      <c r="J28" s="286"/>
    </row>
    <row r="29" spans="1:10" ht="20.25" customHeight="1" outlineLevel="1">
      <c r="A29" s="292" t="s">
        <v>25</v>
      </c>
      <c r="B29" s="254"/>
    </row>
    <row r="30" spans="1:10" ht="20.25" customHeight="1" outlineLevel="1">
      <c r="A30" s="202" t="s">
        <v>26</v>
      </c>
      <c r="B30" s="202"/>
      <c r="C30" s="102" t="s">
        <v>48</v>
      </c>
      <c r="D30" s="202" t="s">
        <v>49</v>
      </c>
      <c r="E30" s="202"/>
      <c r="F30" s="102" t="s">
        <v>50</v>
      </c>
      <c r="G30" s="202" t="s">
        <v>68</v>
      </c>
      <c r="H30" s="202"/>
      <c r="I30" s="202" t="s">
        <v>51</v>
      </c>
      <c r="J30" s="202"/>
    </row>
    <row r="31" spans="1:10" ht="20.25" customHeight="1" outlineLevel="1">
      <c r="A31" s="233" t="s">
        <v>137</v>
      </c>
      <c r="B31" s="234"/>
      <c r="C31" s="102"/>
      <c r="D31" s="203"/>
      <c r="E31" s="203"/>
      <c r="F31" s="103"/>
      <c r="G31" s="204"/>
      <c r="H31" s="204"/>
      <c r="I31" s="293"/>
      <c r="J31" s="294"/>
    </row>
    <row r="32" spans="1:10" ht="20.25" customHeight="1" outlineLevel="1">
      <c r="A32" s="290" t="s">
        <v>138</v>
      </c>
      <c r="B32" s="291"/>
      <c r="C32" s="102"/>
      <c r="D32" s="203"/>
      <c r="E32" s="203"/>
      <c r="F32" s="103"/>
      <c r="G32" s="204"/>
      <c r="H32" s="204"/>
      <c r="I32" s="236"/>
      <c r="J32" s="211"/>
    </row>
    <row r="33" spans="1:10" ht="20.25" customHeight="1" outlineLevel="1">
      <c r="A33" s="202" t="s">
        <v>140</v>
      </c>
      <c r="B33" s="202"/>
      <c r="C33" s="102">
        <v>3</v>
      </c>
      <c r="D33" s="203">
        <v>27896</v>
      </c>
      <c r="E33" s="203"/>
      <c r="F33" s="103" t="s">
        <v>139</v>
      </c>
      <c r="G33" s="204"/>
      <c r="H33" s="204"/>
      <c r="I33" s="204"/>
      <c r="J33" s="204"/>
    </row>
    <row r="34" spans="1:10" ht="20.25" customHeight="1" outlineLevel="1">
      <c r="A34" s="202" t="s">
        <v>141</v>
      </c>
      <c r="B34" s="202"/>
      <c r="C34" s="102">
        <v>3</v>
      </c>
      <c r="D34" s="203">
        <v>67650</v>
      </c>
      <c r="E34" s="203"/>
      <c r="F34" s="103" t="s">
        <v>139</v>
      </c>
      <c r="G34" s="204"/>
      <c r="H34" s="204"/>
      <c r="I34" s="204"/>
      <c r="J34" s="204"/>
    </row>
    <row r="35" spans="1:10" ht="20.25" customHeight="1" outlineLevel="1">
      <c r="A35" s="202" t="s">
        <v>142</v>
      </c>
      <c r="B35" s="202"/>
      <c r="C35" s="102">
        <v>3</v>
      </c>
      <c r="D35" s="203">
        <v>123970</v>
      </c>
      <c r="E35" s="203"/>
      <c r="F35" s="103" t="s">
        <v>139</v>
      </c>
      <c r="G35" s="204"/>
      <c r="H35" s="204"/>
      <c r="I35" s="204"/>
      <c r="J35" s="204"/>
    </row>
    <row r="36" spans="1:10" ht="20.25" customHeight="1" outlineLevel="1">
      <c r="A36" s="202" t="s">
        <v>143</v>
      </c>
      <c r="B36" s="202"/>
      <c r="C36" s="102">
        <v>3</v>
      </c>
      <c r="D36" s="203">
        <v>887559</v>
      </c>
      <c r="E36" s="203"/>
      <c r="F36" s="103" t="s">
        <v>139</v>
      </c>
      <c r="G36" s="204"/>
      <c r="H36" s="204"/>
      <c r="I36" s="204"/>
      <c r="J36" s="204"/>
    </row>
    <row r="37" spans="1:10" ht="20.25" customHeight="1" outlineLevel="1">
      <c r="A37" s="202" t="s">
        <v>144</v>
      </c>
      <c r="B37" s="202"/>
      <c r="C37" s="102">
        <v>3</v>
      </c>
      <c r="D37" s="203">
        <v>46200</v>
      </c>
      <c r="E37" s="203"/>
      <c r="F37" s="103" t="s">
        <v>139</v>
      </c>
      <c r="G37" s="204"/>
      <c r="H37" s="204"/>
      <c r="I37" s="204"/>
      <c r="J37" s="204"/>
    </row>
    <row r="38" spans="1:10" ht="20.25" customHeight="1" outlineLevel="1">
      <c r="A38" s="221" t="s">
        <v>145</v>
      </c>
      <c r="B38" s="222"/>
      <c r="C38" s="102">
        <v>3</v>
      </c>
      <c r="D38" s="203">
        <v>20196</v>
      </c>
      <c r="E38" s="203"/>
      <c r="F38" s="103" t="s">
        <v>139</v>
      </c>
      <c r="G38" s="204"/>
      <c r="H38" s="204"/>
      <c r="I38" s="204"/>
      <c r="J38" s="204"/>
    </row>
    <row r="39" spans="1:10" ht="20.25" customHeight="1" outlineLevel="1">
      <c r="A39" s="237" t="s">
        <v>146</v>
      </c>
      <c r="B39" s="202"/>
      <c r="C39" s="102">
        <v>3</v>
      </c>
      <c r="D39" s="203">
        <v>94050</v>
      </c>
      <c r="E39" s="203"/>
      <c r="F39" s="103" t="s">
        <v>139</v>
      </c>
      <c r="G39" s="204"/>
      <c r="H39" s="204"/>
      <c r="I39" s="204"/>
      <c r="J39" s="204"/>
    </row>
    <row r="40" spans="1:10" ht="20.25" customHeight="1" outlineLevel="1">
      <c r="A40" s="202" t="s">
        <v>147</v>
      </c>
      <c r="B40" s="202"/>
      <c r="C40" s="102">
        <v>3</v>
      </c>
      <c r="D40" s="203">
        <v>33000</v>
      </c>
      <c r="E40" s="203"/>
      <c r="F40" s="103" t="s">
        <v>139</v>
      </c>
      <c r="G40" s="204"/>
      <c r="H40" s="204"/>
      <c r="I40" s="204"/>
      <c r="J40" s="204"/>
    </row>
    <row r="41" spans="1:10" ht="20.25" customHeight="1" outlineLevel="1">
      <c r="A41" s="202"/>
      <c r="B41" s="202"/>
      <c r="C41" s="102"/>
      <c r="D41" s="203"/>
      <c r="E41" s="203"/>
      <c r="F41" s="103"/>
      <c r="G41" s="204"/>
      <c r="H41" s="204"/>
      <c r="I41" s="204"/>
      <c r="J41" s="204"/>
    </row>
    <row r="42" spans="1:10" ht="20.25" customHeight="1" outlineLevel="1">
      <c r="A42" s="205" t="s">
        <v>124</v>
      </c>
      <c r="B42" s="205"/>
      <c r="C42" s="129"/>
      <c r="D42" s="206">
        <f>SUM(D32:E41)</f>
        <v>1300521</v>
      </c>
      <c r="E42" s="206"/>
      <c r="F42" s="130"/>
      <c r="G42" s="207"/>
      <c r="H42" s="207"/>
      <c r="I42" s="207"/>
      <c r="J42" s="207"/>
    </row>
    <row r="43" spans="1:10" ht="20.25" customHeight="1" outlineLevel="1">
      <c r="A43" s="209"/>
      <c r="B43" s="209"/>
      <c r="C43" s="102"/>
      <c r="D43" s="203"/>
      <c r="E43" s="203"/>
      <c r="F43" s="103"/>
      <c r="G43" s="204"/>
      <c r="H43" s="204"/>
      <c r="I43" s="204"/>
      <c r="J43" s="204"/>
    </row>
    <row r="44" spans="1:10" ht="20.25" customHeight="1" outlineLevel="1">
      <c r="A44" s="298" t="s">
        <v>148</v>
      </c>
      <c r="B44" s="298"/>
      <c r="C44" s="102"/>
      <c r="D44" s="203"/>
      <c r="E44" s="203"/>
      <c r="F44" s="103"/>
      <c r="G44" s="204"/>
      <c r="H44" s="204"/>
      <c r="I44" s="236"/>
      <c r="J44" s="211"/>
    </row>
    <row r="45" spans="1:10" ht="20.25" customHeight="1" outlineLevel="1">
      <c r="A45" s="202" t="s">
        <v>142</v>
      </c>
      <c r="B45" s="202"/>
      <c r="C45" s="102">
        <v>4</v>
      </c>
      <c r="D45" s="203">
        <v>66000</v>
      </c>
      <c r="E45" s="203"/>
      <c r="F45" s="103" t="s">
        <v>139</v>
      </c>
      <c r="G45" s="204"/>
      <c r="H45" s="204"/>
      <c r="I45" s="204"/>
      <c r="J45" s="204"/>
    </row>
    <row r="46" spans="1:10" ht="20.25" customHeight="1" outlineLevel="1">
      <c r="A46" s="202" t="s">
        <v>143</v>
      </c>
      <c r="B46" s="202"/>
      <c r="C46" s="102">
        <v>4</v>
      </c>
      <c r="D46" s="203">
        <v>2475621</v>
      </c>
      <c r="E46" s="203"/>
      <c r="F46" s="103" t="s">
        <v>139</v>
      </c>
      <c r="G46" s="204"/>
      <c r="H46" s="204"/>
      <c r="I46" s="204"/>
      <c r="J46" s="204"/>
    </row>
    <row r="47" spans="1:10" ht="20.25" customHeight="1" outlineLevel="1">
      <c r="A47" s="202" t="s">
        <v>145</v>
      </c>
      <c r="B47" s="202"/>
      <c r="C47" s="102">
        <v>4</v>
      </c>
      <c r="D47" s="203">
        <v>43296</v>
      </c>
      <c r="E47" s="203"/>
      <c r="F47" s="103" t="s">
        <v>139</v>
      </c>
      <c r="G47" s="204"/>
      <c r="H47" s="204"/>
      <c r="I47" s="204"/>
      <c r="J47" s="204"/>
    </row>
    <row r="48" spans="1:10" ht="20.25" customHeight="1" outlineLevel="1">
      <c r="A48" s="202" t="s">
        <v>149</v>
      </c>
      <c r="B48" s="202"/>
      <c r="C48" s="102">
        <v>4</v>
      </c>
      <c r="D48" s="203">
        <v>495000</v>
      </c>
      <c r="E48" s="203"/>
      <c r="F48" s="103" t="s">
        <v>139</v>
      </c>
      <c r="G48" s="204"/>
      <c r="H48" s="204"/>
      <c r="I48" s="204"/>
      <c r="J48" s="204"/>
    </row>
    <row r="49" spans="1:10" ht="20.25" customHeight="1" outlineLevel="1">
      <c r="A49" s="202" t="s">
        <v>150</v>
      </c>
      <c r="B49" s="202"/>
      <c r="C49" s="102">
        <v>4</v>
      </c>
      <c r="D49" s="203">
        <v>26400</v>
      </c>
      <c r="E49" s="203"/>
      <c r="F49" s="103" t="s">
        <v>139</v>
      </c>
      <c r="G49" s="204"/>
      <c r="H49" s="204"/>
      <c r="I49" s="204"/>
      <c r="J49" s="204"/>
    </row>
    <row r="50" spans="1:10" ht="20.25" customHeight="1" outlineLevel="1">
      <c r="A50" s="202" t="s">
        <v>151</v>
      </c>
      <c r="B50" s="202"/>
      <c r="C50" s="102">
        <v>4</v>
      </c>
      <c r="D50" s="203">
        <v>108350</v>
      </c>
      <c r="E50" s="203"/>
      <c r="F50" s="103" t="s">
        <v>139</v>
      </c>
      <c r="G50" s="204"/>
      <c r="H50" s="204"/>
      <c r="I50" s="204"/>
      <c r="J50" s="204"/>
    </row>
    <row r="51" spans="1:10" ht="20.25" customHeight="1" outlineLevel="1">
      <c r="A51" s="202" t="s">
        <v>152</v>
      </c>
      <c r="B51" s="202"/>
      <c r="C51" s="102">
        <v>4</v>
      </c>
      <c r="D51" s="203">
        <v>733700</v>
      </c>
      <c r="E51" s="203"/>
      <c r="F51" s="103" t="s">
        <v>139</v>
      </c>
      <c r="G51" s="204"/>
      <c r="H51" s="204"/>
      <c r="I51" s="204"/>
      <c r="J51" s="204"/>
    </row>
    <row r="52" spans="1:10" ht="20.25" customHeight="1" outlineLevel="1">
      <c r="A52" s="202" t="s">
        <v>153</v>
      </c>
      <c r="B52" s="202"/>
      <c r="C52" s="102">
        <v>4</v>
      </c>
      <c r="D52" s="203">
        <v>60775</v>
      </c>
      <c r="E52" s="203"/>
      <c r="F52" s="103" t="s">
        <v>139</v>
      </c>
      <c r="G52" s="204"/>
      <c r="H52" s="204"/>
      <c r="I52" s="204"/>
      <c r="J52" s="204"/>
    </row>
    <row r="53" spans="1:10" ht="20.25" customHeight="1" outlineLevel="1">
      <c r="A53" s="221" t="s">
        <v>154</v>
      </c>
      <c r="B53" s="222"/>
      <c r="C53" s="102">
        <v>4</v>
      </c>
      <c r="D53" s="203">
        <v>17208</v>
      </c>
      <c r="E53" s="203"/>
      <c r="F53" s="103" t="s">
        <v>139</v>
      </c>
      <c r="G53" s="204"/>
      <c r="H53" s="204"/>
      <c r="I53" s="204"/>
      <c r="J53" s="204"/>
    </row>
    <row r="54" spans="1:10" ht="20.25" customHeight="1" outlineLevel="1">
      <c r="A54" s="237" t="s">
        <v>155</v>
      </c>
      <c r="B54" s="202"/>
      <c r="C54" s="102">
        <v>4</v>
      </c>
      <c r="D54" s="203">
        <v>253000</v>
      </c>
      <c r="E54" s="203"/>
      <c r="F54" s="103" t="s">
        <v>139</v>
      </c>
      <c r="G54" s="204"/>
      <c r="H54" s="204"/>
      <c r="I54" s="204"/>
      <c r="J54" s="204"/>
    </row>
    <row r="55" spans="1:10" ht="20.25" customHeight="1" outlineLevel="1">
      <c r="A55" s="202" t="s">
        <v>156</v>
      </c>
      <c r="B55" s="202"/>
      <c r="C55" s="102">
        <v>4</v>
      </c>
      <c r="D55" s="203">
        <v>-685520</v>
      </c>
      <c r="E55" s="203"/>
      <c r="F55" s="103" t="s">
        <v>139</v>
      </c>
      <c r="G55" s="204"/>
      <c r="H55" s="204"/>
      <c r="I55" s="204"/>
      <c r="J55" s="204"/>
    </row>
    <row r="56" spans="1:10" ht="20.25" customHeight="1" outlineLevel="1">
      <c r="A56" s="202" t="s">
        <v>157</v>
      </c>
      <c r="B56" s="202"/>
      <c r="C56" s="102">
        <v>4</v>
      </c>
      <c r="D56" s="203">
        <v>-3738636</v>
      </c>
      <c r="E56" s="203"/>
      <c r="F56" s="103" t="s">
        <v>139</v>
      </c>
      <c r="G56" s="204"/>
      <c r="H56" s="204"/>
      <c r="I56" s="204"/>
      <c r="J56" s="204"/>
    </row>
    <row r="57" spans="1:10" ht="20.25" customHeight="1" outlineLevel="1">
      <c r="A57" s="202" t="s">
        <v>161</v>
      </c>
      <c r="B57" s="202"/>
      <c r="C57" s="102">
        <v>4</v>
      </c>
      <c r="D57" s="203">
        <v>-285912</v>
      </c>
      <c r="E57" s="203"/>
      <c r="F57" s="103" t="s">
        <v>139</v>
      </c>
      <c r="G57" s="204"/>
      <c r="H57" s="204"/>
      <c r="I57" s="204"/>
      <c r="J57" s="204"/>
    </row>
    <row r="58" spans="1:10" ht="20.25" customHeight="1" outlineLevel="1">
      <c r="A58" s="202" t="s">
        <v>184</v>
      </c>
      <c r="B58" s="202"/>
      <c r="C58" s="102">
        <v>4</v>
      </c>
      <c r="D58" s="203">
        <v>6039000</v>
      </c>
      <c r="E58" s="203"/>
      <c r="F58" s="103" t="s">
        <v>139</v>
      </c>
      <c r="G58" s="204"/>
      <c r="H58" s="204"/>
      <c r="I58" s="299" t="s">
        <v>189</v>
      </c>
      <c r="J58" s="299"/>
    </row>
    <row r="59" spans="1:10" ht="20.25" customHeight="1" outlineLevel="1">
      <c r="A59" s="202"/>
      <c r="B59" s="202"/>
      <c r="C59" s="102"/>
      <c r="D59" s="203"/>
      <c r="E59" s="203"/>
      <c r="F59" s="103"/>
      <c r="G59" s="204"/>
      <c r="H59" s="204"/>
      <c r="I59" s="204"/>
      <c r="J59" s="204"/>
    </row>
    <row r="60" spans="1:10" ht="20.25" customHeight="1" outlineLevel="1">
      <c r="A60" s="205" t="s">
        <v>124</v>
      </c>
      <c r="B60" s="205"/>
      <c r="C60" s="129"/>
      <c r="D60" s="206">
        <f>SUM(D45:E59)</f>
        <v>5608282</v>
      </c>
      <c r="E60" s="206"/>
      <c r="F60" s="130"/>
      <c r="G60" s="207"/>
      <c r="H60" s="207"/>
      <c r="I60" s="207"/>
      <c r="J60" s="207"/>
    </row>
    <row r="61" spans="1:10" ht="20.25" customHeight="1" outlineLevel="1">
      <c r="A61" s="202"/>
      <c r="B61" s="202"/>
      <c r="C61" s="102"/>
      <c r="D61" s="203"/>
      <c r="E61" s="203"/>
      <c r="F61" s="103"/>
      <c r="G61" s="204"/>
      <c r="H61" s="204"/>
      <c r="I61" s="204"/>
      <c r="J61" s="204"/>
    </row>
    <row r="62" spans="1:10" ht="20.25" customHeight="1" outlineLevel="1">
      <c r="A62" s="298" t="s">
        <v>159</v>
      </c>
      <c r="B62" s="298"/>
      <c r="C62" s="102"/>
      <c r="D62" s="203"/>
      <c r="E62" s="203"/>
      <c r="F62" s="103"/>
      <c r="G62" s="204"/>
      <c r="H62" s="204"/>
      <c r="I62" s="236"/>
      <c r="J62" s="211"/>
    </row>
    <row r="63" spans="1:10" ht="20.25" customHeight="1" outlineLevel="1">
      <c r="A63" s="202" t="s">
        <v>142</v>
      </c>
      <c r="B63" s="202"/>
      <c r="C63" s="102">
        <v>5</v>
      </c>
      <c r="D63" s="203">
        <v>72820</v>
      </c>
      <c r="E63" s="203"/>
      <c r="F63" s="103" t="s">
        <v>139</v>
      </c>
      <c r="G63" s="204"/>
      <c r="H63" s="204"/>
      <c r="I63" s="204"/>
      <c r="J63" s="204"/>
    </row>
    <row r="64" spans="1:10" ht="20.25" customHeight="1" outlineLevel="1">
      <c r="A64" s="202" t="s">
        <v>143</v>
      </c>
      <c r="B64" s="202"/>
      <c r="C64" s="102">
        <v>5</v>
      </c>
      <c r="D64" s="203">
        <v>3855248</v>
      </c>
      <c r="E64" s="203"/>
      <c r="F64" s="103" t="s">
        <v>139</v>
      </c>
      <c r="G64" s="204"/>
      <c r="H64" s="204"/>
      <c r="I64" s="204"/>
      <c r="J64" s="204"/>
    </row>
    <row r="65" spans="1:10" ht="20.25" customHeight="1" outlineLevel="1">
      <c r="A65" s="202" t="s">
        <v>144</v>
      </c>
      <c r="B65" s="202"/>
      <c r="C65" s="102">
        <v>5</v>
      </c>
      <c r="D65" s="203">
        <v>429000</v>
      </c>
      <c r="E65" s="203"/>
      <c r="F65" s="103" t="s">
        <v>139</v>
      </c>
      <c r="G65" s="204"/>
      <c r="H65" s="204"/>
      <c r="I65" s="204"/>
      <c r="J65" s="204"/>
    </row>
    <row r="66" spans="1:10" ht="20.25" customHeight="1" outlineLevel="1">
      <c r="A66" s="202" t="s">
        <v>145</v>
      </c>
      <c r="B66" s="202"/>
      <c r="C66" s="102">
        <v>5</v>
      </c>
      <c r="D66" s="203">
        <v>75427</v>
      </c>
      <c r="E66" s="203"/>
      <c r="F66" s="103" t="s">
        <v>139</v>
      </c>
      <c r="G66" s="204"/>
      <c r="H66" s="204"/>
      <c r="I66" s="204"/>
      <c r="J66" s="204"/>
    </row>
    <row r="67" spans="1:10" ht="20.25" customHeight="1" outlineLevel="1">
      <c r="A67" s="202" t="s">
        <v>150</v>
      </c>
      <c r="B67" s="202"/>
      <c r="C67" s="102">
        <v>5</v>
      </c>
      <c r="D67" s="203">
        <v>72600</v>
      </c>
      <c r="E67" s="203"/>
      <c r="F67" s="103" t="s">
        <v>139</v>
      </c>
      <c r="G67" s="204"/>
      <c r="H67" s="204"/>
      <c r="I67" s="204"/>
      <c r="J67" s="204"/>
    </row>
    <row r="68" spans="1:10" ht="20.25" customHeight="1" outlineLevel="1">
      <c r="A68" s="202" t="s">
        <v>151</v>
      </c>
      <c r="B68" s="202"/>
      <c r="C68" s="102">
        <v>5</v>
      </c>
      <c r="D68" s="203">
        <v>35200</v>
      </c>
      <c r="E68" s="203"/>
      <c r="F68" s="103" t="s">
        <v>139</v>
      </c>
      <c r="G68" s="204"/>
      <c r="H68" s="204"/>
      <c r="I68" s="204"/>
      <c r="J68" s="204"/>
    </row>
    <row r="69" spans="1:10" ht="20.25" customHeight="1" outlineLevel="1">
      <c r="A69" s="202" t="s">
        <v>152</v>
      </c>
      <c r="B69" s="202"/>
      <c r="C69" s="102">
        <v>5</v>
      </c>
      <c r="D69" s="203">
        <v>1706495</v>
      </c>
      <c r="E69" s="203"/>
      <c r="F69" s="103" t="s">
        <v>139</v>
      </c>
      <c r="G69" s="204"/>
      <c r="H69" s="204"/>
      <c r="I69" s="204"/>
      <c r="J69" s="204"/>
    </row>
    <row r="70" spans="1:10" ht="20.25" customHeight="1" outlineLevel="1">
      <c r="A70" s="202" t="s">
        <v>154</v>
      </c>
      <c r="B70" s="202"/>
      <c r="C70" s="102">
        <v>5</v>
      </c>
      <c r="D70" s="203">
        <v>71902</v>
      </c>
      <c r="E70" s="203"/>
      <c r="F70" s="103" t="s">
        <v>139</v>
      </c>
      <c r="G70" s="204"/>
      <c r="H70" s="204"/>
      <c r="I70" s="204"/>
      <c r="J70" s="204"/>
    </row>
    <row r="71" spans="1:10" ht="20.25" customHeight="1" outlineLevel="1">
      <c r="A71" s="202" t="s">
        <v>160</v>
      </c>
      <c r="B71" s="202"/>
      <c r="C71" s="102">
        <v>5</v>
      </c>
      <c r="D71" s="203">
        <v>4290000</v>
      </c>
      <c r="E71" s="203"/>
      <c r="F71" s="103" t="s">
        <v>139</v>
      </c>
      <c r="G71" s="204"/>
      <c r="H71" s="204"/>
      <c r="I71" s="204"/>
      <c r="J71" s="204"/>
    </row>
    <row r="72" spans="1:10" ht="20.25" customHeight="1" outlineLevel="1">
      <c r="A72" s="221" t="s">
        <v>157</v>
      </c>
      <c r="B72" s="222"/>
      <c r="C72" s="102">
        <v>5</v>
      </c>
      <c r="D72" s="203">
        <v>-6263136</v>
      </c>
      <c r="E72" s="203"/>
      <c r="F72" s="103" t="s">
        <v>139</v>
      </c>
      <c r="G72" s="204"/>
      <c r="H72" s="204"/>
      <c r="I72" s="204"/>
      <c r="J72" s="204"/>
    </row>
    <row r="73" spans="1:10" ht="20.25" customHeight="1" outlineLevel="1">
      <c r="A73" s="237" t="s">
        <v>161</v>
      </c>
      <c r="B73" s="202"/>
      <c r="C73" s="102">
        <v>5</v>
      </c>
      <c r="D73" s="203">
        <v>-220243</v>
      </c>
      <c r="E73" s="203"/>
      <c r="F73" s="103" t="s">
        <v>139</v>
      </c>
      <c r="G73" s="204"/>
      <c r="H73" s="204"/>
      <c r="I73" s="204"/>
      <c r="J73" s="204"/>
    </row>
    <row r="74" spans="1:10" ht="20.25" customHeight="1" outlineLevel="1">
      <c r="A74" s="202" t="s">
        <v>184</v>
      </c>
      <c r="B74" s="202"/>
      <c r="C74" s="102">
        <v>5</v>
      </c>
      <c r="D74" s="203">
        <v>10870000</v>
      </c>
      <c r="E74" s="203"/>
      <c r="F74" s="103" t="s">
        <v>139</v>
      </c>
      <c r="G74" s="204"/>
      <c r="H74" s="204"/>
      <c r="I74" s="204" t="s">
        <v>188</v>
      </c>
      <c r="J74" s="204"/>
    </row>
    <row r="75" spans="1:10" ht="20.25" customHeight="1" outlineLevel="1">
      <c r="A75" s="202"/>
      <c r="B75" s="202"/>
      <c r="C75" s="102"/>
      <c r="D75" s="203"/>
      <c r="E75" s="203"/>
      <c r="F75" s="103"/>
      <c r="G75" s="204"/>
      <c r="H75" s="204"/>
      <c r="I75" s="204"/>
      <c r="J75" s="204"/>
    </row>
    <row r="76" spans="1:10" ht="20.25" customHeight="1" outlineLevel="1">
      <c r="A76" s="205" t="s">
        <v>124</v>
      </c>
      <c r="B76" s="205"/>
      <c r="C76" s="129"/>
      <c r="D76" s="206">
        <f>SUM(D62:E75)</f>
        <v>14995313</v>
      </c>
      <c r="E76" s="206"/>
      <c r="F76" s="130"/>
      <c r="G76" s="207"/>
      <c r="H76" s="207"/>
      <c r="I76" s="207"/>
      <c r="J76" s="207"/>
    </row>
    <row r="77" spans="1:10" ht="20.25" customHeight="1" outlineLevel="1">
      <c r="A77" s="202"/>
      <c r="B77" s="202"/>
      <c r="C77" s="102"/>
      <c r="D77" s="203"/>
      <c r="E77" s="203"/>
      <c r="F77" s="103"/>
      <c r="G77" s="204"/>
      <c r="H77" s="204"/>
      <c r="I77" s="204"/>
      <c r="J77" s="204"/>
    </row>
    <row r="78" spans="1:10" ht="20.25" customHeight="1" outlineLevel="1">
      <c r="A78" s="209" t="s">
        <v>162</v>
      </c>
      <c r="B78" s="209"/>
      <c r="C78" s="102"/>
      <c r="D78" s="203"/>
      <c r="E78" s="203"/>
      <c r="F78" s="103"/>
      <c r="G78" s="204"/>
      <c r="H78" s="204"/>
      <c r="I78" s="204"/>
      <c r="J78" s="204"/>
    </row>
    <row r="79" spans="1:10" ht="20.25" customHeight="1" outlineLevel="1">
      <c r="A79" s="235" t="s">
        <v>142</v>
      </c>
      <c r="B79" s="235"/>
      <c r="C79" s="102">
        <v>6</v>
      </c>
      <c r="D79" s="203">
        <v>13200</v>
      </c>
      <c r="E79" s="203"/>
      <c r="F79" s="103" t="s">
        <v>139</v>
      </c>
      <c r="G79" s="204"/>
      <c r="H79" s="204"/>
      <c r="I79" s="236"/>
      <c r="J79" s="211"/>
    </row>
    <row r="80" spans="1:10" ht="20.25" customHeight="1" outlineLevel="1">
      <c r="A80" s="235" t="s">
        <v>143</v>
      </c>
      <c r="B80" s="235"/>
      <c r="C80" s="102">
        <v>6</v>
      </c>
      <c r="D80" s="203">
        <v>4791963</v>
      </c>
      <c r="E80" s="203"/>
      <c r="F80" s="103" t="s">
        <v>139</v>
      </c>
      <c r="G80" s="204"/>
      <c r="H80" s="204"/>
      <c r="I80" s="236"/>
      <c r="J80" s="211"/>
    </row>
    <row r="81" spans="1:10" ht="20.25" customHeight="1" outlineLevel="1">
      <c r="A81" s="235" t="s">
        <v>145</v>
      </c>
      <c r="B81" s="235"/>
      <c r="C81" s="102">
        <v>6</v>
      </c>
      <c r="D81" s="203">
        <v>64944</v>
      </c>
      <c r="E81" s="203"/>
      <c r="F81" s="103" t="s">
        <v>139</v>
      </c>
      <c r="G81" s="204"/>
      <c r="H81" s="204"/>
      <c r="I81" s="236"/>
      <c r="J81" s="211"/>
    </row>
    <row r="82" spans="1:10" ht="20.25" customHeight="1" outlineLevel="1">
      <c r="A82" s="235" t="s">
        <v>150</v>
      </c>
      <c r="B82" s="235"/>
      <c r="C82" s="102">
        <v>6</v>
      </c>
      <c r="D82" s="203">
        <v>119900</v>
      </c>
      <c r="E82" s="203"/>
      <c r="F82" s="103" t="s">
        <v>139</v>
      </c>
      <c r="G82" s="204"/>
      <c r="H82" s="204"/>
      <c r="I82" s="236"/>
      <c r="J82" s="211"/>
    </row>
    <row r="83" spans="1:10" ht="20.25" customHeight="1" outlineLevel="1">
      <c r="A83" s="235" t="s">
        <v>151</v>
      </c>
      <c r="B83" s="235"/>
      <c r="C83" s="102">
        <v>6</v>
      </c>
      <c r="D83" s="203">
        <v>244530</v>
      </c>
      <c r="E83" s="203"/>
      <c r="F83" s="103" t="s">
        <v>139</v>
      </c>
      <c r="G83" s="204"/>
      <c r="H83" s="204"/>
      <c r="I83" s="236"/>
      <c r="J83" s="211"/>
    </row>
    <row r="84" spans="1:10" ht="20.25" customHeight="1" outlineLevel="1">
      <c r="A84" s="235" t="s">
        <v>152</v>
      </c>
      <c r="B84" s="235"/>
      <c r="C84" s="102">
        <v>6</v>
      </c>
      <c r="D84" s="203">
        <v>637498</v>
      </c>
      <c r="E84" s="203"/>
      <c r="F84" s="103" t="s">
        <v>139</v>
      </c>
      <c r="G84" s="204"/>
      <c r="H84" s="204"/>
      <c r="I84" s="236"/>
      <c r="J84" s="211"/>
    </row>
    <row r="85" spans="1:10" ht="20.25" customHeight="1" outlineLevel="1">
      <c r="A85" s="235" t="s">
        <v>154</v>
      </c>
      <c r="B85" s="235"/>
      <c r="C85" s="102">
        <v>6</v>
      </c>
      <c r="D85" s="203">
        <v>58922</v>
      </c>
      <c r="E85" s="203"/>
      <c r="F85" s="103" t="s">
        <v>139</v>
      </c>
      <c r="G85" s="204"/>
      <c r="H85" s="204"/>
      <c r="I85" s="236"/>
      <c r="J85" s="211"/>
    </row>
    <row r="86" spans="1:10" ht="20.25" customHeight="1" outlineLevel="1">
      <c r="A86" s="235" t="s">
        <v>163</v>
      </c>
      <c r="B86" s="235"/>
      <c r="C86" s="102">
        <v>6</v>
      </c>
      <c r="D86" s="203">
        <v>11165</v>
      </c>
      <c r="E86" s="203"/>
      <c r="F86" s="103" t="s">
        <v>139</v>
      </c>
      <c r="G86" s="204"/>
      <c r="H86" s="204"/>
      <c r="I86" s="236"/>
      <c r="J86" s="211"/>
    </row>
    <row r="87" spans="1:10" ht="20.25" customHeight="1" outlineLevel="1">
      <c r="A87" s="235" t="s">
        <v>164</v>
      </c>
      <c r="B87" s="235"/>
      <c r="C87" s="102">
        <v>6</v>
      </c>
      <c r="D87" s="203">
        <v>23925</v>
      </c>
      <c r="E87" s="203"/>
      <c r="F87" s="103" t="s">
        <v>139</v>
      </c>
      <c r="G87" s="204"/>
      <c r="H87" s="204"/>
      <c r="I87" s="236"/>
      <c r="J87" s="211"/>
    </row>
    <row r="88" spans="1:10" ht="20.25" customHeight="1" outlineLevel="1">
      <c r="A88" s="202" t="s">
        <v>165</v>
      </c>
      <c r="B88" s="202"/>
      <c r="C88" s="102">
        <v>6</v>
      </c>
      <c r="D88" s="203">
        <v>6600</v>
      </c>
      <c r="E88" s="203"/>
      <c r="F88" s="103" t="s">
        <v>139</v>
      </c>
      <c r="G88" s="204"/>
      <c r="H88" s="204"/>
      <c r="I88" s="204"/>
      <c r="J88" s="204"/>
    </row>
    <row r="89" spans="1:10" ht="20.25" customHeight="1" outlineLevel="1">
      <c r="A89" s="221" t="s">
        <v>166</v>
      </c>
      <c r="B89" s="222"/>
      <c r="C89" s="102">
        <v>6</v>
      </c>
      <c r="D89" s="203">
        <v>46750</v>
      </c>
      <c r="E89" s="203"/>
      <c r="F89" s="103" t="s">
        <v>139</v>
      </c>
      <c r="G89" s="204"/>
      <c r="H89" s="204"/>
      <c r="I89" s="204"/>
      <c r="J89" s="204"/>
    </row>
    <row r="90" spans="1:10" ht="20.25" customHeight="1" outlineLevel="1">
      <c r="A90" s="237" t="s">
        <v>167</v>
      </c>
      <c r="B90" s="202"/>
      <c r="C90" s="102">
        <v>6</v>
      </c>
      <c r="D90" s="203">
        <v>307800</v>
      </c>
      <c r="E90" s="203"/>
      <c r="F90" s="103" t="s">
        <v>139</v>
      </c>
      <c r="G90" s="204"/>
      <c r="H90" s="204"/>
      <c r="I90" s="204"/>
      <c r="J90" s="204"/>
    </row>
    <row r="91" spans="1:10" ht="20.25" customHeight="1" outlineLevel="1">
      <c r="A91" s="202" t="s">
        <v>161</v>
      </c>
      <c r="B91" s="202"/>
      <c r="C91" s="102">
        <v>6</v>
      </c>
      <c r="D91" s="203">
        <v>-97724</v>
      </c>
      <c r="E91" s="203"/>
      <c r="F91" s="103" t="s">
        <v>139</v>
      </c>
      <c r="G91" s="204"/>
      <c r="H91" s="204"/>
      <c r="I91" s="204"/>
      <c r="J91" s="204"/>
    </row>
    <row r="92" spans="1:10" ht="20.25" customHeight="1" outlineLevel="1">
      <c r="A92" s="202" t="s">
        <v>158</v>
      </c>
      <c r="B92" s="202"/>
      <c r="C92" s="102">
        <v>6</v>
      </c>
      <c r="D92" s="203">
        <v>-84370</v>
      </c>
      <c r="E92" s="203"/>
      <c r="F92" s="103" t="s">
        <v>139</v>
      </c>
      <c r="G92" s="204"/>
      <c r="H92" s="204"/>
      <c r="I92" s="204"/>
      <c r="J92" s="204"/>
    </row>
    <row r="93" spans="1:10" ht="20.25" customHeight="1" outlineLevel="1">
      <c r="A93" s="202" t="s">
        <v>184</v>
      </c>
      <c r="B93" s="202"/>
      <c r="C93" s="102">
        <v>6</v>
      </c>
      <c r="D93" s="203">
        <v>7246800</v>
      </c>
      <c r="E93" s="203"/>
      <c r="F93" s="103" t="s">
        <v>139</v>
      </c>
      <c r="G93" s="204"/>
      <c r="H93" s="204"/>
      <c r="I93" s="204" t="s">
        <v>193</v>
      </c>
      <c r="J93" s="204"/>
    </row>
    <row r="94" spans="1:10" ht="20.25" customHeight="1" outlineLevel="1">
      <c r="A94" s="202"/>
      <c r="B94" s="202"/>
      <c r="C94" s="102"/>
      <c r="D94" s="203"/>
      <c r="E94" s="203"/>
      <c r="F94" s="103"/>
      <c r="G94" s="204"/>
      <c r="H94" s="204"/>
      <c r="I94" s="204"/>
      <c r="J94" s="204"/>
    </row>
    <row r="95" spans="1:10" ht="20.25" customHeight="1" outlineLevel="1">
      <c r="A95" s="205" t="s">
        <v>124</v>
      </c>
      <c r="B95" s="205"/>
      <c r="C95" s="129"/>
      <c r="D95" s="206">
        <f>SUM(D79:E94)</f>
        <v>13391903</v>
      </c>
      <c r="E95" s="206"/>
      <c r="F95" s="130"/>
      <c r="G95" s="207"/>
      <c r="H95" s="207"/>
      <c r="I95" s="207"/>
      <c r="J95" s="207"/>
    </row>
    <row r="96" spans="1:10" ht="20.25" customHeight="1" outlineLevel="1">
      <c r="A96" s="202"/>
      <c r="B96" s="202"/>
      <c r="C96" s="102"/>
      <c r="D96" s="203"/>
      <c r="E96" s="203"/>
      <c r="F96" s="103"/>
      <c r="G96" s="204"/>
      <c r="H96" s="204"/>
      <c r="I96" s="204"/>
      <c r="J96" s="204"/>
    </row>
    <row r="97" spans="1:10" ht="20.25" customHeight="1" outlineLevel="1">
      <c r="A97" s="209" t="s">
        <v>168</v>
      </c>
      <c r="B97" s="209"/>
      <c r="C97" s="102"/>
      <c r="D97" s="203"/>
      <c r="E97" s="203"/>
      <c r="F97" s="103"/>
      <c r="G97" s="204"/>
      <c r="H97" s="204"/>
      <c r="I97" s="204"/>
      <c r="J97" s="204"/>
    </row>
    <row r="98" spans="1:10" ht="20.25" customHeight="1" outlineLevel="1">
      <c r="A98" s="202" t="s">
        <v>142</v>
      </c>
      <c r="B98" s="202"/>
      <c r="C98" s="102">
        <v>7</v>
      </c>
      <c r="D98" s="203">
        <v>2494800</v>
      </c>
      <c r="E98" s="203"/>
      <c r="F98" s="103" t="s">
        <v>139</v>
      </c>
      <c r="G98" s="204"/>
      <c r="H98" s="204"/>
      <c r="I98" s="204"/>
      <c r="J98" s="204"/>
    </row>
    <row r="99" spans="1:10" ht="20.25" customHeight="1" outlineLevel="1">
      <c r="A99" s="202" t="s">
        <v>143</v>
      </c>
      <c r="B99" s="202"/>
      <c r="C99" s="102">
        <v>7</v>
      </c>
      <c r="D99" s="203">
        <v>4032982</v>
      </c>
      <c r="E99" s="203"/>
      <c r="F99" s="103" t="s">
        <v>139</v>
      </c>
      <c r="G99" s="204"/>
      <c r="H99" s="204"/>
      <c r="I99" s="204"/>
      <c r="J99" s="204"/>
    </row>
    <row r="100" spans="1:10" ht="20.25" customHeight="1" outlineLevel="1">
      <c r="A100" s="202" t="s">
        <v>145</v>
      </c>
      <c r="B100" s="202"/>
      <c r="C100" s="102">
        <v>7</v>
      </c>
      <c r="D100" s="203">
        <v>15444</v>
      </c>
      <c r="E100" s="203"/>
      <c r="F100" s="103" t="s">
        <v>139</v>
      </c>
      <c r="G100" s="204"/>
      <c r="H100" s="204"/>
      <c r="I100" s="204"/>
      <c r="J100" s="204"/>
    </row>
    <row r="101" spans="1:10" ht="20.25" customHeight="1" outlineLevel="1">
      <c r="A101" s="202" t="s">
        <v>150</v>
      </c>
      <c r="B101" s="202"/>
      <c r="C101" s="102">
        <v>7</v>
      </c>
      <c r="D101" s="203">
        <v>218900</v>
      </c>
      <c r="E101" s="203"/>
      <c r="F101" s="103" t="s">
        <v>139</v>
      </c>
      <c r="G101" s="204"/>
      <c r="H101" s="204"/>
      <c r="I101" s="204"/>
      <c r="J101" s="204"/>
    </row>
    <row r="102" spans="1:10" ht="20.25" customHeight="1" outlineLevel="1">
      <c r="A102" s="202" t="s">
        <v>151</v>
      </c>
      <c r="B102" s="202"/>
      <c r="C102" s="102">
        <v>7</v>
      </c>
      <c r="D102" s="203">
        <v>72270</v>
      </c>
      <c r="E102" s="203"/>
      <c r="F102" s="103" t="s">
        <v>139</v>
      </c>
      <c r="G102" s="204"/>
      <c r="H102" s="204"/>
      <c r="I102" s="204"/>
      <c r="J102" s="204"/>
    </row>
    <row r="103" spans="1:10" ht="20.25" customHeight="1" outlineLevel="1">
      <c r="A103" s="202" t="s">
        <v>153</v>
      </c>
      <c r="B103" s="202"/>
      <c r="C103" s="102">
        <v>7</v>
      </c>
      <c r="D103" s="203">
        <v>198000</v>
      </c>
      <c r="E103" s="203"/>
      <c r="F103" s="103" t="s">
        <v>139</v>
      </c>
      <c r="G103" s="204"/>
      <c r="H103" s="204"/>
      <c r="I103" s="204"/>
      <c r="J103" s="204"/>
    </row>
    <row r="104" spans="1:10" ht="20.25" customHeight="1" outlineLevel="1">
      <c r="A104" s="202" t="s">
        <v>154</v>
      </c>
      <c r="B104" s="202"/>
      <c r="C104" s="102">
        <v>7</v>
      </c>
      <c r="D104" s="203">
        <v>57675</v>
      </c>
      <c r="E104" s="203"/>
      <c r="F104" s="103" t="s">
        <v>139</v>
      </c>
      <c r="G104" s="204"/>
      <c r="H104" s="204"/>
      <c r="I104" s="204"/>
      <c r="J104" s="204"/>
    </row>
    <row r="105" spans="1:10" ht="20.25" customHeight="1" outlineLevel="1">
      <c r="A105" s="202" t="s">
        <v>156</v>
      </c>
      <c r="B105" s="202"/>
      <c r="C105" s="102">
        <v>7</v>
      </c>
      <c r="D105" s="203">
        <v>-7745496</v>
      </c>
      <c r="E105" s="203"/>
      <c r="F105" s="103" t="s">
        <v>139</v>
      </c>
      <c r="G105" s="204"/>
      <c r="H105" s="204"/>
      <c r="I105" s="204"/>
      <c r="J105" s="204"/>
    </row>
    <row r="106" spans="1:10" ht="20.25" customHeight="1" outlineLevel="1">
      <c r="A106" s="202" t="s">
        <v>157</v>
      </c>
      <c r="B106" s="202"/>
      <c r="C106" s="102">
        <v>7</v>
      </c>
      <c r="D106" s="203">
        <v>-7808785</v>
      </c>
      <c r="E106" s="203"/>
      <c r="F106" s="103" t="s">
        <v>139</v>
      </c>
      <c r="G106" s="204"/>
      <c r="H106" s="204"/>
      <c r="I106" s="204"/>
      <c r="J106" s="204"/>
    </row>
    <row r="107" spans="1:10" ht="20.25" customHeight="1" outlineLevel="1">
      <c r="A107" s="202" t="s">
        <v>184</v>
      </c>
      <c r="B107" s="202"/>
      <c r="C107" s="102"/>
      <c r="D107" s="203">
        <v>2688400</v>
      </c>
      <c r="E107" s="203"/>
      <c r="F107" s="103" t="s">
        <v>209</v>
      </c>
      <c r="G107" s="204"/>
      <c r="H107" s="204"/>
      <c r="I107" s="204" t="s">
        <v>208</v>
      </c>
      <c r="J107" s="204"/>
    </row>
    <row r="108" spans="1:10" ht="20.25" customHeight="1" outlineLevel="1">
      <c r="A108" s="202"/>
      <c r="B108" s="202"/>
      <c r="C108" s="102"/>
      <c r="D108" s="203"/>
      <c r="E108" s="203"/>
      <c r="F108" s="103"/>
      <c r="G108" s="204"/>
      <c r="H108" s="204"/>
      <c r="I108" s="204"/>
      <c r="J108" s="204"/>
    </row>
    <row r="109" spans="1:10" ht="20.25" customHeight="1" outlineLevel="1">
      <c r="A109" s="227" t="s">
        <v>169</v>
      </c>
      <c r="B109" s="228"/>
      <c r="C109" s="129"/>
      <c r="D109" s="229">
        <f>SUM(D98:E108)</f>
        <v>-5775810</v>
      </c>
      <c r="E109" s="230"/>
      <c r="F109" s="130"/>
      <c r="G109" s="231"/>
      <c r="H109" s="232"/>
      <c r="I109" s="231"/>
      <c r="J109" s="232"/>
    </row>
    <row r="110" spans="1:10" ht="20.25" customHeight="1" outlineLevel="1">
      <c r="A110" s="221"/>
      <c r="B110" s="222"/>
      <c r="C110" s="102"/>
      <c r="D110" s="223"/>
      <c r="E110" s="224"/>
      <c r="F110" s="103"/>
      <c r="G110" s="225"/>
      <c r="H110" s="226"/>
      <c r="I110" s="225"/>
      <c r="J110" s="226"/>
    </row>
    <row r="111" spans="1:10" ht="20.25" customHeight="1" outlineLevel="1">
      <c r="A111" s="233" t="s">
        <v>170</v>
      </c>
      <c r="B111" s="234"/>
      <c r="C111" s="102"/>
      <c r="D111" s="223"/>
      <c r="E111" s="224"/>
      <c r="F111" s="103"/>
      <c r="G111" s="225"/>
      <c r="H111" s="226"/>
      <c r="I111" s="225"/>
      <c r="J111" s="226"/>
    </row>
    <row r="112" spans="1:10" ht="20.25" customHeight="1" outlineLevel="1">
      <c r="A112" s="221" t="s">
        <v>142</v>
      </c>
      <c r="B112" s="222"/>
      <c r="C112" s="102">
        <v>8</v>
      </c>
      <c r="D112" s="223">
        <v>79200</v>
      </c>
      <c r="E112" s="224"/>
      <c r="F112" s="103" t="s">
        <v>139</v>
      </c>
      <c r="G112" s="225"/>
      <c r="H112" s="226"/>
      <c r="I112" s="225"/>
      <c r="J112" s="226"/>
    </row>
    <row r="113" spans="1:10" ht="20.25" customHeight="1" outlineLevel="1">
      <c r="A113" s="221" t="s">
        <v>143</v>
      </c>
      <c r="B113" s="222"/>
      <c r="C113" s="102">
        <v>8</v>
      </c>
      <c r="D113" s="223">
        <v>5367382</v>
      </c>
      <c r="E113" s="224"/>
      <c r="F113" s="103" t="s">
        <v>139</v>
      </c>
      <c r="G113" s="225"/>
      <c r="H113" s="226"/>
      <c r="I113" s="225"/>
      <c r="J113" s="226"/>
    </row>
    <row r="114" spans="1:10" ht="20.25" customHeight="1" outlineLevel="1">
      <c r="A114" s="221" t="s">
        <v>144</v>
      </c>
      <c r="B114" s="222"/>
      <c r="C114" s="102">
        <v>8</v>
      </c>
      <c r="D114" s="223">
        <v>546700</v>
      </c>
      <c r="E114" s="224"/>
      <c r="F114" s="103" t="s">
        <v>139</v>
      </c>
      <c r="G114" s="225"/>
      <c r="H114" s="226"/>
      <c r="I114" s="225"/>
      <c r="J114" s="226"/>
    </row>
    <row r="115" spans="1:10" ht="20.25" customHeight="1" outlineLevel="1">
      <c r="A115" s="221" t="s">
        <v>145</v>
      </c>
      <c r="B115" s="222"/>
      <c r="C115" s="102">
        <v>8</v>
      </c>
      <c r="D115" s="223">
        <v>23100</v>
      </c>
      <c r="E115" s="224"/>
      <c r="F115" s="103" t="s">
        <v>139</v>
      </c>
      <c r="G115" s="225"/>
      <c r="H115" s="226"/>
      <c r="I115" s="225"/>
      <c r="J115" s="226"/>
    </row>
    <row r="116" spans="1:10" ht="20.25" customHeight="1" outlineLevel="1">
      <c r="A116" s="221" t="s">
        <v>151</v>
      </c>
      <c r="B116" s="222"/>
      <c r="C116" s="102">
        <v>8</v>
      </c>
      <c r="D116" s="223">
        <v>54186</v>
      </c>
      <c r="E116" s="224"/>
      <c r="F116" s="103" t="s">
        <v>139</v>
      </c>
      <c r="G116" s="225"/>
      <c r="H116" s="226"/>
      <c r="I116" s="225"/>
      <c r="J116" s="226"/>
    </row>
    <row r="117" spans="1:10" ht="20.25" customHeight="1" outlineLevel="1">
      <c r="A117" s="221" t="s">
        <v>154</v>
      </c>
      <c r="B117" s="222"/>
      <c r="C117" s="102">
        <v>8</v>
      </c>
      <c r="D117" s="223">
        <v>411668</v>
      </c>
      <c r="E117" s="224"/>
      <c r="F117" s="103" t="s">
        <v>139</v>
      </c>
      <c r="G117" s="225"/>
      <c r="H117" s="226"/>
      <c r="I117" s="225"/>
      <c r="J117" s="226"/>
    </row>
    <row r="118" spans="1:10" ht="20.25" customHeight="1" outlineLevel="1">
      <c r="A118" s="221" t="s">
        <v>166</v>
      </c>
      <c r="B118" s="222"/>
      <c r="C118" s="102">
        <v>8</v>
      </c>
      <c r="D118" s="223">
        <v>92400</v>
      </c>
      <c r="E118" s="224"/>
      <c r="F118" s="103" t="s">
        <v>139</v>
      </c>
      <c r="G118" s="225"/>
      <c r="H118" s="226"/>
      <c r="I118" s="225"/>
      <c r="J118" s="226"/>
    </row>
    <row r="119" spans="1:10" ht="20.25" customHeight="1" outlineLevel="1">
      <c r="A119" s="221" t="s">
        <v>171</v>
      </c>
      <c r="B119" s="222"/>
      <c r="C119" s="102">
        <v>8</v>
      </c>
      <c r="D119" s="223">
        <v>104500</v>
      </c>
      <c r="E119" s="224"/>
      <c r="F119" s="103" t="s">
        <v>139</v>
      </c>
      <c r="G119" s="225"/>
      <c r="H119" s="226"/>
      <c r="I119" s="225"/>
      <c r="J119" s="226"/>
    </row>
    <row r="120" spans="1:10" ht="20.25" customHeight="1" outlineLevel="1">
      <c r="A120" s="221" t="s">
        <v>172</v>
      </c>
      <c r="B120" s="222"/>
      <c r="C120" s="102">
        <v>8</v>
      </c>
      <c r="D120" s="223">
        <v>16500</v>
      </c>
      <c r="E120" s="224"/>
      <c r="F120" s="103" t="s">
        <v>139</v>
      </c>
      <c r="G120" s="225"/>
      <c r="H120" s="226"/>
      <c r="I120" s="225"/>
      <c r="J120" s="226"/>
    </row>
    <row r="121" spans="1:10" ht="20.25" customHeight="1" outlineLevel="1">
      <c r="A121" s="221" t="s">
        <v>173</v>
      </c>
      <c r="B121" s="222"/>
      <c r="C121" s="102">
        <v>8</v>
      </c>
      <c r="D121" s="223">
        <v>38500</v>
      </c>
      <c r="E121" s="224"/>
      <c r="F121" s="103" t="s">
        <v>139</v>
      </c>
      <c r="G121" s="225"/>
      <c r="H121" s="226"/>
      <c r="I121" s="225"/>
      <c r="J121" s="226"/>
    </row>
    <row r="122" spans="1:10" ht="20.25" customHeight="1" outlineLevel="1">
      <c r="A122" s="221" t="s">
        <v>174</v>
      </c>
      <c r="B122" s="222"/>
      <c r="C122" s="102">
        <v>8</v>
      </c>
      <c r="D122" s="223">
        <v>7040000</v>
      </c>
      <c r="E122" s="224"/>
      <c r="F122" s="103" t="s">
        <v>139</v>
      </c>
      <c r="G122" s="225"/>
      <c r="H122" s="226"/>
      <c r="I122" s="225"/>
      <c r="J122" s="226"/>
    </row>
    <row r="123" spans="1:10" ht="20.25" customHeight="1" outlineLevel="1">
      <c r="A123" s="221" t="s">
        <v>175</v>
      </c>
      <c r="B123" s="222"/>
      <c r="C123" s="102">
        <v>8</v>
      </c>
      <c r="D123" s="223">
        <v>1925000</v>
      </c>
      <c r="E123" s="224"/>
      <c r="F123" s="103" t="s">
        <v>139</v>
      </c>
      <c r="G123" s="225"/>
      <c r="H123" s="226"/>
      <c r="I123" s="225"/>
      <c r="J123" s="226"/>
    </row>
    <row r="124" spans="1:10" ht="20.25" customHeight="1" outlineLevel="1">
      <c r="A124" s="221" t="s">
        <v>156</v>
      </c>
      <c r="B124" s="222"/>
      <c r="C124" s="102">
        <v>8</v>
      </c>
      <c r="D124" s="223">
        <v>-974050</v>
      </c>
      <c r="E124" s="224"/>
      <c r="F124" s="103" t="s">
        <v>139</v>
      </c>
      <c r="G124" s="225"/>
      <c r="H124" s="226"/>
      <c r="I124" s="225"/>
      <c r="J124" s="226"/>
    </row>
    <row r="125" spans="1:10" ht="20.25" customHeight="1" outlineLevel="1">
      <c r="A125" s="221" t="s">
        <v>157</v>
      </c>
      <c r="B125" s="222"/>
      <c r="C125" s="102">
        <v>8</v>
      </c>
      <c r="D125" s="223">
        <v>-353562</v>
      </c>
      <c r="E125" s="224"/>
      <c r="F125" s="103" t="s">
        <v>139</v>
      </c>
      <c r="G125" s="225"/>
      <c r="H125" s="226"/>
      <c r="I125" s="225"/>
      <c r="J125" s="226"/>
    </row>
    <row r="126" spans="1:10" ht="20.25" customHeight="1" outlineLevel="1">
      <c r="A126" s="221" t="s">
        <v>161</v>
      </c>
      <c r="B126" s="222"/>
      <c r="C126" s="102">
        <v>8</v>
      </c>
      <c r="D126" s="223">
        <v>-2439621</v>
      </c>
      <c r="E126" s="224"/>
      <c r="F126" s="103" t="s">
        <v>139</v>
      </c>
      <c r="G126" s="225"/>
      <c r="H126" s="226"/>
      <c r="I126" s="225"/>
      <c r="J126" s="226"/>
    </row>
    <row r="127" spans="1:10" ht="20.25" customHeight="1" outlineLevel="1">
      <c r="A127" s="202" t="s">
        <v>184</v>
      </c>
      <c r="B127" s="202"/>
      <c r="C127" s="102">
        <v>8</v>
      </c>
      <c r="D127" s="223">
        <v>3850</v>
      </c>
      <c r="E127" s="224"/>
      <c r="F127" s="103" t="s">
        <v>235</v>
      </c>
      <c r="G127" s="225"/>
      <c r="H127" s="226"/>
      <c r="I127" s="204" t="s">
        <v>234</v>
      </c>
      <c r="J127" s="204"/>
    </row>
    <row r="128" spans="1:10" ht="20.25" customHeight="1" outlineLevel="1">
      <c r="A128" s="221"/>
      <c r="B128" s="222"/>
      <c r="C128" s="102"/>
      <c r="D128" s="223"/>
      <c r="E128" s="224"/>
      <c r="F128" s="103"/>
      <c r="G128" s="225"/>
      <c r="H128" s="226"/>
      <c r="I128" s="225"/>
      <c r="J128" s="226"/>
    </row>
    <row r="129" spans="1:10" ht="20.25" customHeight="1" outlineLevel="1">
      <c r="A129" s="227" t="s">
        <v>169</v>
      </c>
      <c r="B129" s="228"/>
      <c r="C129" s="129"/>
      <c r="D129" s="229">
        <f>SUM(D112:E128)</f>
        <v>11935753</v>
      </c>
      <c r="E129" s="230"/>
      <c r="F129" s="130"/>
      <c r="G129" s="231"/>
      <c r="H129" s="232"/>
      <c r="I129" s="231"/>
      <c r="J129" s="232"/>
    </row>
    <row r="130" spans="1:10" ht="20.25" customHeight="1" outlineLevel="1">
      <c r="A130" s="221"/>
      <c r="B130" s="222"/>
      <c r="C130" s="102"/>
      <c r="D130" s="223"/>
      <c r="E130" s="224"/>
      <c r="F130" s="103"/>
      <c r="G130" s="225"/>
      <c r="H130" s="226"/>
      <c r="I130" s="225"/>
      <c r="J130" s="226"/>
    </row>
    <row r="131" spans="1:10" ht="20.25" customHeight="1" outlineLevel="1">
      <c r="A131" s="209" t="s">
        <v>176</v>
      </c>
      <c r="B131" s="209"/>
      <c r="C131" s="102"/>
      <c r="D131" s="203"/>
      <c r="E131" s="203"/>
      <c r="F131" s="103"/>
      <c r="G131" s="204"/>
      <c r="H131" s="204"/>
      <c r="I131" s="204"/>
      <c r="J131" s="204"/>
    </row>
    <row r="132" spans="1:10" ht="20.25" customHeight="1" outlineLevel="1">
      <c r="A132" s="202" t="s">
        <v>200</v>
      </c>
      <c r="B132" s="202"/>
      <c r="C132" s="102">
        <v>9</v>
      </c>
      <c r="D132" s="203">
        <v>157740</v>
      </c>
      <c r="E132" s="203"/>
      <c r="F132" s="103" t="s">
        <v>139</v>
      </c>
      <c r="G132" s="204"/>
      <c r="H132" s="204"/>
      <c r="I132" s="204"/>
      <c r="J132" s="204"/>
    </row>
    <row r="133" spans="1:10" ht="20.25" customHeight="1" outlineLevel="1">
      <c r="A133" s="202" t="s">
        <v>143</v>
      </c>
      <c r="B133" s="202"/>
      <c r="C133" s="102">
        <v>9</v>
      </c>
      <c r="D133" s="203">
        <v>6231832</v>
      </c>
      <c r="E133" s="203"/>
      <c r="F133" s="103" t="s">
        <v>139</v>
      </c>
      <c r="G133" s="204"/>
      <c r="H133" s="204"/>
      <c r="I133" s="204"/>
      <c r="J133" s="204"/>
    </row>
    <row r="134" spans="1:10" ht="20.25" customHeight="1" outlineLevel="1">
      <c r="A134" s="202" t="s">
        <v>144</v>
      </c>
      <c r="B134" s="202"/>
      <c r="C134" s="102">
        <v>9</v>
      </c>
      <c r="D134" s="203">
        <v>410300</v>
      </c>
      <c r="E134" s="203"/>
      <c r="F134" s="103" t="s">
        <v>139</v>
      </c>
      <c r="G134" s="204"/>
      <c r="H134" s="204"/>
      <c r="I134" s="204"/>
      <c r="J134" s="204"/>
    </row>
    <row r="135" spans="1:10" ht="20.25" customHeight="1" outlineLevel="1">
      <c r="A135" s="202" t="s">
        <v>201</v>
      </c>
      <c r="B135" s="202"/>
      <c r="C135" s="102">
        <v>9</v>
      </c>
      <c r="D135" s="203">
        <v>945027</v>
      </c>
      <c r="E135" s="203"/>
      <c r="F135" s="103" t="s">
        <v>139</v>
      </c>
      <c r="G135" s="204"/>
      <c r="H135" s="204"/>
      <c r="I135" s="204"/>
      <c r="J135" s="204"/>
    </row>
    <row r="136" spans="1:10" ht="20.25" customHeight="1" outlineLevel="1">
      <c r="A136" s="202" t="s">
        <v>203</v>
      </c>
      <c r="B136" s="202"/>
      <c r="C136" s="102">
        <v>9</v>
      </c>
      <c r="D136" s="203">
        <v>-36402</v>
      </c>
      <c r="E136" s="203"/>
      <c r="F136" s="103" t="s">
        <v>139</v>
      </c>
      <c r="G136" s="213" t="s">
        <v>132</v>
      </c>
      <c r="H136" s="214"/>
      <c r="I136" s="214" t="s">
        <v>204</v>
      </c>
      <c r="J136" s="214"/>
    </row>
    <row r="137" spans="1:10" ht="20.25" customHeight="1" outlineLevel="1">
      <c r="A137" s="202" t="s">
        <v>145</v>
      </c>
      <c r="B137" s="202"/>
      <c r="C137" s="102">
        <v>9</v>
      </c>
      <c r="D137" s="203">
        <v>30800</v>
      </c>
      <c r="E137" s="203"/>
      <c r="F137" s="103" t="s">
        <v>139</v>
      </c>
      <c r="G137" s="204"/>
      <c r="H137" s="204"/>
      <c r="I137" s="204"/>
      <c r="J137" s="204"/>
    </row>
    <row r="138" spans="1:10" ht="20.25" customHeight="1" outlineLevel="1">
      <c r="A138" s="202" t="s">
        <v>202</v>
      </c>
      <c r="B138" s="202"/>
      <c r="C138" s="102">
        <v>9</v>
      </c>
      <c r="D138" s="203">
        <v>352000</v>
      </c>
      <c r="E138" s="203"/>
      <c r="F138" s="103" t="s">
        <v>139</v>
      </c>
      <c r="G138" s="204"/>
      <c r="H138" s="204"/>
      <c r="I138" s="204"/>
      <c r="J138" s="204"/>
    </row>
    <row r="139" spans="1:10" ht="20.25" customHeight="1" outlineLevel="1">
      <c r="A139" s="202" t="s">
        <v>150</v>
      </c>
      <c r="B139" s="202"/>
      <c r="C139" s="102">
        <v>9</v>
      </c>
      <c r="D139" s="203">
        <v>562562</v>
      </c>
      <c r="E139" s="203"/>
      <c r="F139" s="103" t="s">
        <v>139</v>
      </c>
      <c r="G139" s="204"/>
      <c r="H139" s="204"/>
      <c r="I139" s="204"/>
      <c r="J139" s="204"/>
    </row>
    <row r="140" spans="1:10" ht="20.25" customHeight="1" outlineLevel="1">
      <c r="A140" s="202" t="s">
        <v>166</v>
      </c>
      <c r="B140" s="202"/>
      <c r="C140" s="102">
        <v>9</v>
      </c>
      <c r="D140" s="203">
        <v>66506</v>
      </c>
      <c r="E140" s="203"/>
      <c r="F140" s="103" t="s">
        <v>139</v>
      </c>
      <c r="G140" s="204"/>
      <c r="H140" s="204"/>
      <c r="I140" s="204"/>
      <c r="J140" s="204"/>
    </row>
    <row r="141" spans="1:10" ht="20.25" customHeight="1" outlineLevel="1">
      <c r="A141" s="202" t="s">
        <v>203</v>
      </c>
      <c r="B141" s="202"/>
      <c r="C141" s="102">
        <v>9</v>
      </c>
      <c r="D141" s="203">
        <v>-1826</v>
      </c>
      <c r="E141" s="203"/>
      <c r="F141" s="103" t="s">
        <v>139</v>
      </c>
      <c r="G141" s="213" t="s">
        <v>205</v>
      </c>
      <c r="H141" s="214"/>
      <c r="I141" s="214" t="s">
        <v>206</v>
      </c>
      <c r="J141" s="214"/>
    </row>
    <row r="142" spans="1:10" ht="20.25" customHeight="1" outlineLevel="1">
      <c r="A142" s="202" t="s">
        <v>140</v>
      </c>
      <c r="B142" s="202"/>
      <c r="C142" s="102">
        <v>9</v>
      </c>
      <c r="D142" s="203">
        <v>24321</v>
      </c>
      <c r="E142" s="203"/>
      <c r="F142" s="103" t="s">
        <v>139</v>
      </c>
      <c r="G142" s="204"/>
      <c r="H142" s="204"/>
      <c r="I142" s="204"/>
      <c r="J142" s="204"/>
    </row>
    <row r="143" spans="1:10" ht="20.25" customHeight="1" outlineLevel="1">
      <c r="A143" s="202" t="s">
        <v>154</v>
      </c>
      <c r="B143" s="202"/>
      <c r="C143" s="102">
        <v>9</v>
      </c>
      <c r="D143" s="203">
        <v>860370</v>
      </c>
      <c r="E143" s="203"/>
      <c r="F143" s="103" t="s">
        <v>139</v>
      </c>
      <c r="G143" s="204"/>
      <c r="H143" s="204"/>
      <c r="I143" s="204"/>
      <c r="J143" s="204"/>
    </row>
    <row r="144" spans="1:10" ht="20.25" customHeight="1" outlineLevel="1">
      <c r="A144" s="202" t="s">
        <v>151</v>
      </c>
      <c r="B144" s="202"/>
      <c r="C144" s="102">
        <v>9</v>
      </c>
      <c r="D144" s="203">
        <v>134750</v>
      </c>
      <c r="E144" s="203"/>
      <c r="F144" s="103" t="s">
        <v>139</v>
      </c>
      <c r="G144" s="204"/>
      <c r="H144" s="204"/>
      <c r="I144" s="204"/>
      <c r="J144" s="204"/>
    </row>
    <row r="145" spans="1:10" ht="20.25" customHeight="1" outlineLevel="1">
      <c r="A145" s="202" t="s">
        <v>184</v>
      </c>
      <c r="B145" s="202"/>
      <c r="C145" s="102">
        <v>9</v>
      </c>
      <c r="D145" s="203">
        <v>3795</v>
      </c>
      <c r="E145" s="203"/>
      <c r="F145" s="103" t="s">
        <v>209</v>
      </c>
      <c r="G145" s="204" t="s">
        <v>313</v>
      </c>
      <c r="H145" s="204"/>
      <c r="I145" s="204" t="s">
        <v>312</v>
      </c>
      <c r="J145" s="204"/>
    </row>
    <row r="146" spans="1:10" ht="20.25" customHeight="1" outlineLevel="1">
      <c r="A146" s="202"/>
      <c r="B146" s="202"/>
      <c r="C146" s="102"/>
      <c r="D146" s="203"/>
      <c r="E146" s="203"/>
      <c r="F146" s="103"/>
      <c r="G146" s="204"/>
      <c r="H146" s="204"/>
      <c r="I146" s="204"/>
      <c r="J146" s="204"/>
    </row>
    <row r="147" spans="1:10" ht="20.25" customHeight="1" outlineLevel="1">
      <c r="A147" s="205" t="s">
        <v>169</v>
      </c>
      <c r="B147" s="205"/>
      <c r="C147" s="129"/>
      <c r="D147" s="206">
        <f>SUM(D132:E146)</f>
        <v>9741775</v>
      </c>
      <c r="E147" s="206"/>
      <c r="F147" s="130"/>
      <c r="G147" s="207"/>
      <c r="H147" s="207"/>
      <c r="I147" s="207"/>
      <c r="J147" s="207"/>
    </row>
    <row r="148" spans="1:10" ht="20.25" customHeight="1" outlineLevel="1">
      <c r="A148" s="202"/>
      <c r="B148" s="202"/>
      <c r="C148" s="102"/>
      <c r="D148" s="203"/>
      <c r="E148" s="203"/>
      <c r="F148" s="103"/>
      <c r="G148" s="204"/>
      <c r="H148" s="204"/>
      <c r="I148" s="204"/>
      <c r="J148" s="204"/>
    </row>
    <row r="149" spans="1:10" ht="20.25" customHeight="1" outlineLevel="1">
      <c r="A149" s="209" t="s">
        <v>210</v>
      </c>
      <c r="B149" s="209"/>
      <c r="C149" s="102"/>
      <c r="D149" s="203"/>
      <c r="E149" s="203"/>
      <c r="F149" s="103"/>
      <c r="G149" s="204"/>
      <c r="H149" s="204"/>
      <c r="I149" s="204"/>
      <c r="J149" s="204"/>
    </row>
    <row r="150" spans="1:10" ht="20.25" customHeight="1" outlineLevel="1">
      <c r="A150" s="202" t="s">
        <v>211</v>
      </c>
      <c r="B150" s="202"/>
      <c r="C150" s="102">
        <v>10</v>
      </c>
      <c r="D150" s="203">
        <v>-3513257</v>
      </c>
      <c r="E150" s="203"/>
      <c r="F150" s="103" t="s">
        <v>212</v>
      </c>
      <c r="G150" s="204"/>
      <c r="H150" s="204"/>
      <c r="I150" s="204"/>
      <c r="J150" s="204"/>
    </row>
    <row r="151" spans="1:10" ht="20.25" customHeight="1" outlineLevel="1">
      <c r="A151" s="202" t="s">
        <v>214</v>
      </c>
      <c r="B151" s="202"/>
      <c r="C151" s="102">
        <v>10</v>
      </c>
      <c r="D151" s="203">
        <v>-96910</v>
      </c>
      <c r="E151" s="203"/>
      <c r="F151" s="103" t="s">
        <v>209</v>
      </c>
      <c r="G151" s="204"/>
      <c r="H151" s="204"/>
      <c r="I151" s="204"/>
      <c r="J151" s="204"/>
    </row>
    <row r="152" spans="1:10" ht="20.25" customHeight="1" outlineLevel="1">
      <c r="A152" s="202" t="s">
        <v>215</v>
      </c>
      <c r="B152" s="202"/>
      <c r="C152" s="102">
        <v>10</v>
      </c>
      <c r="D152" s="203">
        <v>-4675827</v>
      </c>
      <c r="E152" s="203"/>
      <c r="F152" s="103" t="s">
        <v>209</v>
      </c>
      <c r="G152" s="204"/>
      <c r="H152" s="204"/>
      <c r="I152" s="204"/>
      <c r="J152" s="204"/>
    </row>
    <row r="153" spans="1:10" ht="20.25" customHeight="1" outlineLevel="1">
      <c r="A153" s="202" t="s">
        <v>216</v>
      </c>
      <c r="B153" s="202"/>
      <c r="C153" s="102">
        <v>10</v>
      </c>
      <c r="D153" s="203">
        <v>3135000</v>
      </c>
      <c r="E153" s="203"/>
      <c r="F153" s="103" t="s">
        <v>209</v>
      </c>
      <c r="G153" s="204"/>
      <c r="H153" s="204"/>
      <c r="I153" s="204"/>
      <c r="J153" s="204"/>
    </row>
    <row r="154" spans="1:10" ht="20.25" customHeight="1" outlineLevel="1">
      <c r="A154" s="202" t="s">
        <v>217</v>
      </c>
      <c r="B154" s="202"/>
      <c r="C154" s="102">
        <v>10</v>
      </c>
      <c r="D154" s="203">
        <v>16500</v>
      </c>
      <c r="E154" s="203"/>
      <c r="F154" s="103" t="s">
        <v>209</v>
      </c>
      <c r="G154" s="204"/>
      <c r="H154" s="204"/>
      <c r="I154" s="204"/>
      <c r="J154" s="204"/>
    </row>
    <row r="155" spans="1:10" ht="20.25" customHeight="1" outlineLevel="1">
      <c r="A155" s="202" t="s">
        <v>218</v>
      </c>
      <c r="B155" s="202"/>
      <c r="C155" s="102">
        <v>10</v>
      </c>
      <c r="D155" s="203">
        <v>887801</v>
      </c>
      <c r="E155" s="203"/>
      <c r="F155" s="103" t="s">
        <v>209</v>
      </c>
      <c r="G155" s="204"/>
      <c r="H155" s="204"/>
      <c r="I155" s="204"/>
      <c r="J155" s="204"/>
    </row>
    <row r="156" spans="1:10" ht="20.25" customHeight="1" outlineLevel="1">
      <c r="A156" s="202" t="s">
        <v>219</v>
      </c>
      <c r="B156" s="202"/>
      <c r="C156" s="102">
        <v>10</v>
      </c>
      <c r="D156" s="203">
        <v>17226</v>
      </c>
      <c r="E156" s="203"/>
      <c r="F156" s="103" t="s">
        <v>209</v>
      </c>
      <c r="G156" s="204"/>
      <c r="H156" s="204"/>
      <c r="I156" s="204"/>
      <c r="J156" s="204"/>
    </row>
    <row r="157" spans="1:10" ht="20.25" customHeight="1" outlineLevel="1">
      <c r="A157" s="202" t="s">
        <v>220</v>
      </c>
      <c r="B157" s="202"/>
      <c r="C157" s="102">
        <v>10</v>
      </c>
      <c r="D157" s="203">
        <v>1792428</v>
      </c>
      <c r="E157" s="203"/>
      <c r="F157" s="103" t="s">
        <v>209</v>
      </c>
      <c r="G157" s="204"/>
      <c r="H157" s="204"/>
      <c r="I157" s="204"/>
      <c r="J157" s="204"/>
    </row>
    <row r="158" spans="1:10" ht="20.25" customHeight="1" outlineLevel="1">
      <c r="A158" s="202" t="s">
        <v>221</v>
      </c>
      <c r="B158" s="202"/>
      <c r="C158" s="102">
        <v>10</v>
      </c>
      <c r="D158" s="203">
        <v>158301</v>
      </c>
      <c r="E158" s="203"/>
      <c r="F158" s="103" t="s">
        <v>209</v>
      </c>
      <c r="G158" s="204"/>
      <c r="H158" s="204"/>
      <c r="I158" s="204"/>
      <c r="J158" s="204"/>
    </row>
    <row r="159" spans="1:10" ht="20.25" customHeight="1" outlineLevel="1">
      <c r="A159" s="202" t="s">
        <v>222</v>
      </c>
      <c r="B159" s="202"/>
      <c r="C159" s="102">
        <v>10</v>
      </c>
      <c r="D159" s="203">
        <v>6449891</v>
      </c>
      <c r="E159" s="203"/>
      <c r="F159" s="103" t="s">
        <v>209</v>
      </c>
      <c r="G159" s="204"/>
      <c r="H159" s="204"/>
      <c r="I159" s="204"/>
      <c r="J159" s="204"/>
    </row>
    <row r="160" spans="1:10" ht="20.25" customHeight="1" outlineLevel="1">
      <c r="A160" s="202" t="s">
        <v>223</v>
      </c>
      <c r="B160" s="202"/>
      <c r="C160" s="102">
        <v>10</v>
      </c>
      <c r="D160" s="203">
        <v>4514614</v>
      </c>
      <c r="E160" s="203"/>
      <c r="F160" s="103" t="s">
        <v>209</v>
      </c>
      <c r="G160" s="204"/>
      <c r="H160" s="204"/>
      <c r="I160" s="204"/>
      <c r="J160" s="204"/>
    </row>
    <row r="161" spans="1:10" ht="20.25" customHeight="1" outlineLevel="1">
      <c r="A161" s="202" t="s">
        <v>224</v>
      </c>
      <c r="B161" s="202"/>
      <c r="C161" s="102">
        <v>10</v>
      </c>
      <c r="D161" s="203">
        <v>1047200</v>
      </c>
      <c r="E161" s="203"/>
      <c r="F161" s="103" t="s">
        <v>209</v>
      </c>
      <c r="G161" s="204"/>
      <c r="H161" s="204"/>
      <c r="I161" s="204" t="s">
        <v>225</v>
      </c>
      <c r="J161" s="204"/>
    </row>
    <row r="162" spans="1:10" ht="20.25" customHeight="1" outlineLevel="1">
      <c r="A162" s="202" t="s">
        <v>226</v>
      </c>
      <c r="B162" s="202"/>
      <c r="C162" s="102">
        <v>10</v>
      </c>
      <c r="D162" s="203">
        <v>154366</v>
      </c>
      <c r="E162" s="203"/>
      <c r="F162" s="103" t="s">
        <v>209</v>
      </c>
      <c r="G162" s="204"/>
      <c r="H162" s="204"/>
      <c r="I162" s="204"/>
      <c r="J162" s="204"/>
    </row>
    <row r="163" spans="1:10" ht="20.25" customHeight="1" outlineLevel="1">
      <c r="A163" s="202" t="s">
        <v>227</v>
      </c>
      <c r="B163" s="202"/>
      <c r="C163" s="102">
        <v>10</v>
      </c>
      <c r="D163" s="203">
        <v>112981</v>
      </c>
      <c r="E163" s="203"/>
      <c r="F163" s="103" t="s">
        <v>209</v>
      </c>
      <c r="G163" s="204"/>
      <c r="H163" s="204"/>
      <c r="I163" s="204"/>
      <c r="J163" s="204"/>
    </row>
    <row r="164" spans="1:10" ht="20.25" customHeight="1" outlineLevel="1">
      <c r="A164" s="202" t="s">
        <v>228</v>
      </c>
      <c r="B164" s="202"/>
      <c r="C164" s="102">
        <v>10</v>
      </c>
      <c r="D164" s="203">
        <v>14080</v>
      </c>
      <c r="E164" s="203"/>
      <c r="F164" s="103" t="s">
        <v>209</v>
      </c>
      <c r="G164" s="204"/>
      <c r="H164" s="204"/>
      <c r="I164" s="204"/>
      <c r="J164" s="204"/>
    </row>
    <row r="165" spans="1:10" ht="20.25" customHeight="1" outlineLevel="1">
      <c r="A165" s="202" t="s">
        <v>229</v>
      </c>
      <c r="B165" s="202"/>
      <c r="C165" s="102">
        <v>10</v>
      </c>
      <c r="D165" s="203">
        <v>3520000</v>
      </c>
      <c r="E165" s="203"/>
      <c r="F165" s="103" t="s">
        <v>209</v>
      </c>
      <c r="G165" s="204"/>
      <c r="H165" s="204"/>
      <c r="I165" s="204"/>
      <c r="J165" s="204"/>
    </row>
    <row r="166" spans="1:10" ht="20.25" customHeight="1" outlineLevel="1">
      <c r="A166" s="202"/>
      <c r="B166" s="202"/>
      <c r="C166" s="102"/>
      <c r="D166" s="203"/>
      <c r="E166" s="203"/>
      <c r="F166" s="103"/>
      <c r="G166" s="204"/>
      <c r="H166" s="204"/>
      <c r="I166" s="204"/>
      <c r="J166" s="204"/>
    </row>
    <row r="167" spans="1:10" ht="20.25" customHeight="1" outlineLevel="1">
      <c r="A167" s="205" t="s">
        <v>213</v>
      </c>
      <c r="B167" s="205"/>
      <c r="C167" s="129"/>
      <c r="D167" s="206">
        <f>SUM(D150:E166)</f>
        <v>13534394</v>
      </c>
      <c r="E167" s="206"/>
      <c r="F167" s="130"/>
      <c r="G167" s="207"/>
      <c r="H167" s="207"/>
      <c r="I167" s="207"/>
      <c r="J167" s="207"/>
    </row>
    <row r="168" spans="1:10" ht="20.25" customHeight="1" outlineLevel="1">
      <c r="A168" s="202"/>
      <c r="B168" s="202"/>
      <c r="C168" s="102"/>
      <c r="D168" s="203"/>
      <c r="E168" s="203"/>
      <c r="F168" s="103"/>
      <c r="G168" s="204"/>
      <c r="H168" s="204"/>
      <c r="I168" s="204"/>
      <c r="J168" s="204"/>
    </row>
    <row r="169" spans="1:10" ht="20.25" customHeight="1" outlineLevel="1">
      <c r="A169" s="209" t="s">
        <v>298</v>
      </c>
      <c r="B169" s="209"/>
      <c r="C169" s="102"/>
      <c r="D169" s="203"/>
      <c r="E169" s="203"/>
      <c r="F169" s="103"/>
      <c r="G169" s="204"/>
      <c r="H169" s="204"/>
      <c r="I169" s="204"/>
      <c r="J169" s="204"/>
    </row>
    <row r="170" spans="1:10" ht="20.25" customHeight="1" outlineLevel="1">
      <c r="A170" s="202" t="s">
        <v>299</v>
      </c>
      <c r="B170" s="202"/>
      <c r="C170" s="102">
        <v>11</v>
      </c>
      <c r="D170" s="203">
        <v>-4622119</v>
      </c>
      <c r="E170" s="203"/>
      <c r="F170" s="103" t="s">
        <v>300</v>
      </c>
      <c r="G170" s="204"/>
      <c r="H170" s="204"/>
      <c r="I170" s="204"/>
      <c r="J170" s="204"/>
    </row>
    <row r="171" spans="1:10" ht="20.25" customHeight="1" outlineLevel="1">
      <c r="A171" s="202" t="s">
        <v>214</v>
      </c>
      <c r="B171" s="202"/>
      <c r="C171" s="102">
        <v>11</v>
      </c>
      <c r="D171" s="203">
        <v>-2557687</v>
      </c>
      <c r="E171" s="203"/>
      <c r="F171" s="103" t="s">
        <v>209</v>
      </c>
      <c r="G171" s="204"/>
      <c r="H171" s="204"/>
      <c r="I171" s="204"/>
      <c r="J171" s="204"/>
    </row>
    <row r="172" spans="1:10" ht="20.25" customHeight="1" outlineLevel="1">
      <c r="A172" s="202" t="s">
        <v>302</v>
      </c>
      <c r="B172" s="202"/>
      <c r="C172" s="102">
        <v>11</v>
      </c>
      <c r="D172" s="203">
        <v>12980</v>
      </c>
      <c r="E172" s="203"/>
      <c r="F172" s="103" t="s">
        <v>209</v>
      </c>
      <c r="G172" s="204"/>
      <c r="H172" s="204"/>
      <c r="I172" s="204"/>
      <c r="J172" s="204"/>
    </row>
    <row r="173" spans="1:10" ht="20.25" customHeight="1" outlineLevel="1">
      <c r="A173" s="202" t="s">
        <v>226</v>
      </c>
      <c r="B173" s="202"/>
      <c r="C173" s="102">
        <v>11</v>
      </c>
      <c r="D173" s="203">
        <v>442565</v>
      </c>
      <c r="E173" s="203"/>
      <c r="F173" s="103" t="s">
        <v>209</v>
      </c>
      <c r="G173" s="204"/>
      <c r="H173" s="204"/>
      <c r="I173" s="204"/>
      <c r="J173" s="204"/>
    </row>
    <row r="174" spans="1:10" ht="20.25" customHeight="1" outlineLevel="1">
      <c r="A174" s="202" t="s">
        <v>303</v>
      </c>
      <c r="B174" s="202"/>
      <c r="C174" s="102">
        <v>11</v>
      </c>
      <c r="D174" s="203">
        <v>11000000</v>
      </c>
      <c r="E174" s="203"/>
      <c r="F174" s="103" t="s">
        <v>209</v>
      </c>
      <c r="G174" s="204"/>
      <c r="H174" s="204"/>
      <c r="I174" s="204"/>
      <c r="J174" s="204"/>
    </row>
    <row r="175" spans="1:10" ht="20.25" customHeight="1" outlineLevel="1">
      <c r="A175" s="202" t="s">
        <v>222</v>
      </c>
      <c r="B175" s="202"/>
      <c r="C175" s="102">
        <v>11</v>
      </c>
      <c r="D175" s="203">
        <v>3554856</v>
      </c>
      <c r="E175" s="203"/>
      <c r="F175" s="103" t="s">
        <v>209</v>
      </c>
      <c r="G175" s="204"/>
      <c r="H175" s="204"/>
      <c r="I175" s="204"/>
      <c r="J175" s="204"/>
    </row>
    <row r="176" spans="1:10" ht="20.25" customHeight="1" outlineLevel="1">
      <c r="A176" s="202" t="s">
        <v>304</v>
      </c>
      <c r="B176" s="202"/>
      <c r="C176" s="102">
        <v>11</v>
      </c>
      <c r="D176" s="203">
        <v>331650</v>
      </c>
      <c r="E176" s="203"/>
      <c r="F176" s="103" t="s">
        <v>209</v>
      </c>
      <c r="G176" s="204"/>
      <c r="H176" s="204"/>
      <c r="I176" s="204"/>
      <c r="J176" s="204"/>
    </row>
    <row r="177" spans="1:10" ht="20.25" customHeight="1" outlineLevel="1">
      <c r="A177" s="202" t="s">
        <v>314</v>
      </c>
      <c r="B177" s="202"/>
      <c r="C177" s="102">
        <v>11</v>
      </c>
      <c r="D177" s="203">
        <v>-179128</v>
      </c>
      <c r="E177" s="203"/>
      <c r="F177" s="103" t="s">
        <v>209</v>
      </c>
      <c r="G177" s="213" t="s">
        <v>315</v>
      </c>
      <c r="H177" s="214"/>
      <c r="I177" s="214" t="s">
        <v>316</v>
      </c>
      <c r="J177" s="214"/>
    </row>
    <row r="178" spans="1:10" ht="20.25" customHeight="1" outlineLevel="1">
      <c r="A178" s="202" t="s">
        <v>221</v>
      </c>
      <c r="B178" s="202"/>
      <c r="C178" s="102">
        <v>11</v>
      </c>
      <c r="D178" s="203">
        <v>158840</v>
      </c>
      <c r="E178" s="203"/>
      <c r="F178" s="103" t="s">
        <v>209</v>
      </c>
      <c r="G178" s="204"/>
      <c r="H178" s="204"/>
      <c r="I178" s="204"/>
      <c r="J178" s="204"/>
    </row>
    <row r="179" spans="1:10" ht="20.25" customHeight="1" outlineLevel="1">
      <c r="A179" s="202" t="s">
        <v>228</v>
      </c>
      <c r="B179" s="202"/>
      <c r="C179" s="102">
        <v>11</v>
      </c>
      <c r="D179" s="203">
        <v>14080</v>
      </c>
      <c r="E179" s="203"/>
      <c r="F179" s="103" t="s">
        <v>209</v>
      </c>
      <c r="G179" s="204"/>
      <c r="H179" s="204"/>
      <c r="I179" s="204"/>
      <c r="J179" s="204"/>
    </row>
    <row r="180" spans="1:10" ht="20.25" customHeight="1" outlineLevel="1">
      <c r="A180" s="202" t="s">
        <v>305</v>
      </c>
      <c r="B180" s="202"/>
      <c r="C180" s="102">
        <v>11</v>
      </c>
      <c r="D180" s="203">
        <v>10560000</v>
      </c>
      <c r="E180" s="203"/>
      <c r="F180" s="103" t="s">
        <v>209</v>
      </c>
      <c r="G180" s="204"/>
      <c r="H180" s="204"/>
      <c r="I180" s="204"/>
      <c r="J180" s="204"/>
    </row>
    <row r="181" spans="1:10" ht="20.25" customHeight="1" outlineLevel="1">
      <c r="A181" s="202" t="s">
        <v>227</v>
      </c>
      <c r="B181" s="202"/>
      <c r="C181" s="102">
        <v>11</v>
      </c>
      <c r="D181" s="203">
        <v>238920</v>
      </c>
      <c r="E181" s="203"/>
      <c r="F181" s="103" t="s">
        <v>209</v>
      </c>
      <c r="G181" s="204"/>
      <c r="H181" s="204"/>
      <c r="I181" s="204"/>
      <c r="J181" s="204"/>
    </row>
    <row r="182" spans="1:10" ht="20.25" customHeight="1" outlineLevel="1">
      <c r="A182" s="202" t="s">
        <v>306</v>
      </c>
      <c r="B182" s="202"/>
      <c r="C182" s="102">
        <v>11</v>
      </c>
      <c r="D182" s="203">
        <v>249150</v>
      </c>
      <c r="E182" s="203"/>
      <c r="F182" s="103" t="s">
        <v>209</v>
      </c>
      <c r="G182" s="204"/>
      <c r="H182" s="204"/>
      <c r="I182" s="204"/>
      <c r="J182" s="204"/>
    </row>
    <row r="183" spans="1:10" ht="20.25" customHeight="1" outlineLevel="1">
      <c r="A183" s="202" t="s">
        <v>218</v>
      </c>
      <c r="B183" s="202"/>
      <c r="C183" s="102">
        <v>11</v>
      </c>
      <c r="D183" s="203">
        <v>448669</v>
      </c>
      <c r="E183" s="203"/>
      <c r="F183" s="103" t="s">
        <v>209</v>
      </c>
      <c r="G183" s="204"/>
      <c r="H183" s="204"/>
      <c r="I183" s="204"/>
      <c r="J183" s="204"/>
    </row>
    <row r="184" spans="1:10" ht="20.25" customHeight="1" outlineLevel="1">
      <c r="A184" s="202" t="s">
        <v>309</v>
      </c>
      <c r="B184" s="202"/>
      <c r="C184" s="102">
        <v>11</v>
      </c>
      <c r="D184" s="203">
        <v>78320</v>
      </c>
      <c r="E184" s="203"/>
      <c r="F184" s="103" t="s">
        <v>209</v>
      </c>
      <c r="G184" s="204"/>
      <c r="H184" s="204"/>
      <c r="I184" s="204"/>
      <c r="J184" s="204"/>
    </row>
    <row r="185" spans="1:10" ht="20.25" customHeight="1" outlineLevel="1">
      <c r="A185" s="202" t="s">
        <v>184</v>
      </c>
      <c r="B185" s="202"/>
      <c r="C185" s="102">
        <v>11</v>
      </c>
      <c r="D185" s="203">
        <v>3850</v>
      </c>
      <c r="E185" s="203"/>
      <c r="F185" s="103" t="s">
        <v>209</v>
      </c>
      <c r="G185" s="204" t="s">
        <v>313</v>
      </c>
      <c r="H185" s="204"/>
      <c r="I185" s="204" t="s">
        <v>327</v>
      </c>
      <c r="J185" s="204"/>
    </row>
    <row r="186" spans="1:10" ht="20.25" customHeight="1" outlineLevel="1">
      <c r="A186" s="202"/>
      <c r="B186" s="202"/>
      <c r="C186" s="102"/>
      <c r="D186" s="203"/>
      <c r="E186" s="203"/>
      <c r="F186" s="103"/>
      <c r="G186" s="204"/>
      <c r="H186" s="204"/>
      <c r="I186" s="204"/>
      <c r="J186" s="204"/>
    </row>
    <row r="187" spans="1:10" ht="20.25" customHeight="1" outlineLevel="1">
      <c r="A187" s="205" t="s">
        <v>301</v>
      </c>
      <c r="B187" s="205"/>
      <c r="C187" s="129"/>
      <c r="D187" s="206">
        <f>SUM(D170:E186)</f>
        <v>19734946</v>
      </c>
      <c r="E187" s="206"/>
      <c r="F187" s="130"/>
      <c r="G187" s="207"/>
      <c r="H187" s="207"/>
      <c r="I187" s="207"/>
      <c r="J187" s="207"/>
    </row>
    <row r="188" spans="1:10" ht="20.25" customHeight="1" outlineLevel="1">
      <c r="A188" s="202"/>
      <c r="B188" s="202"/>
      <c r="C188" s="102"/>
      <c r="D188" s="203"/>
      <c r="E188" s="203"/>
      <c r="F188" s="103"/>
      <c r="G188" s="204"/>
      <c r="H188" s="204"/>
      <c r="I188" s="204"/>
      <c r="J188" s="204"/>
    </row>
    <row r="189" spans="1:10" ht="20.25" customHeight="1" outlineLevel="1">
      <c r="A189" s="209" t="s">
        <v>317</v>
      </c>
      <c r="B189" s="209"/>
      <c r="C189" s="102"/>
      <c r="D189" s="203"/>
      <c r="E189" s="203"/>
      <c r="F189" s="103"/>
      <c r="G189" s="204"/>
      <c r="H189" s="204"/>
      <c r="I189" s="204"/>
      <c r="J189" s="204"/>
    </row>
    <row r="190" spans="1:10" ht="20.25" customHeight="1" outlineLevel="1">
      <c r="A190" s="202" t="s">
        <v>215</v>
      </c>
      <c r="B190" s="202"/>
      <c r="C190" s="102">
        <v>12</v>
      </c>
      <c r="D190" s="203">
        <v>-5877178</v>
      </c>
      <c r="E190" s="203"/>
      <c r="F190" s="103" t="s">
        <v>209</v>
      </c>
      <c r="G190" s="204"/>
      <c r="H190" s="204"/>
      <c r="I190" s="204"/>
      <c r="J190" s="204"/>
    </row>
    <row r="191" spans="1:10" ht="20.25" customHeight="1" outlineLevel="1">
      <c r="A191" s="202" t="s">
        <v>222</v>
      </c>
      <c r="B191" s="202"/>
      <c r="C191" s="102">
        <v>12</v>
      </c>
      <c r="D191" s="203">
        <v>4580667</v>
      </c>
      <c r="E191" s="203"/>
      <c r="F191" s="103" t="s">
        <v>209</v>
      </c>
      <c r="G191" s="204"/>
      <c r="H191" s="204"/>
      <c r="I191" s="204"/>
      <c r="J191" s="204"/>
    </row>
    <row r="192" spans="1:10" ht="20.25" customHeight="1" outlineLevel="1">
      <c r="A192" s="202" t="s">
        <v>319</v>
      </c>
      <c r="B192" s="202"/>
      <c r="C192" s="102">
        <v>12</v>
      </c>
      <c r="D192" s="203">
        <v>-3986400</v>
      </c>
      <c r="E192" s="203"/>
      <c r="F192" s="103" t="s">
        <v>209</v>
      </c>
      <c r="G192" s="204" t="s">
        <v>329</v>
      </c>
      <c r="H192" s="204"/>
      <c r="I192" s="314" t="s">
        <v>328</v>
      </c>
      <c r="J192" s="214"/>
    </row>
    <row r="193" spans="1:10" ht="20.25" customHeight="1" outlineLevel="1">
      <c r="A193" s="202" t="s">
        <v>320</v>
      </c>
      <c r="B193" s="202"/>
      <c r="C193" s="102">
        <v>12</v>
      </c>
      <c r="D193" s="203">
        <v>825000</v>
      </c>
      <c r="E193" s="203"/>
      <c r="F193" s="103" t="s">
        <v>209</v>
      </c>
      <c r="G193" s="204"/>
      <c r="H193" s="204"/>
      <c r="I193" s="204"/>
      <c r="J193" s="204"/>
    </row>
    <row r="194" spans="1:10" ht="20.25" customHeight="1" outlineLevel="1">
      <c r="A194" s="202" t="s">
        <v>229</v>
      </c>
      <c r="B194" s="202"/>
      <c r="C194" s="102">
        <v>12</v>
      </c>
      <c r="D194" s="203">
        <v>7040000</v>
      </c>
      <c r="E194" s="203"/>
      <c r="F194" s="103" t="s">
        <v>209</v>
      </c>
      <c r="G194" s="204"/>
      <c r="H194" s="204"/>
      <c r="I194" s="204"/>
      <c r="J194" s="204"/>
    </row>
    <row r="195" spans="1:10" ht="20.25" customHeight="1" outlineLevel="1">
      <c r="A195" s="202" t="s">
        <v>321</v>
      </c>
      <c r="B195" s="202"/>
      <c r="C195" s="102">
        <v>12</v>
      </c>
      <c r="D195" s="203">
        <v>198350</v>
      </c>
      <c r="E195" s="203"/>
      <c r="F195" s="103" t="s">
        <v>209</v>
      </c>
      <c r="G195" s="204"/>
      <c r="H195" s="204"/>
      <c r="I195" s="204"/>
      <c r="J195" s="204"/>
    </row>
    <row r="196" spans="1:10" ht="20.25" customHeight="1" outlineLevel="1">
      <c r="A196" s="202" t="s">
        <v>226</v>
      </c>
      <c r="B196" s="202"/>
      <c r="C196" s="102">
        <v>12</v>
      </c>
      <c r="D196" s="203">
        <v>1647946</v>
      </c>
      <c r="E196" s="203"/>
      <c r="F196" s="103" t="s">
        <v>209</v>
      </c>
      <c r="G196" s="204"/>
      <c r="H196" s="204"/>
      <c r="I196" s="204"/>
      <c r="J196" s="204"/>
    </row>
    <row r="197" spans="1:10" ht="20.25" customHeight="1" outlineLevel="1">
      <c r="A197" s="202" t="s">
        <v>322</v>
      </c>
      <c r="B197" s="202"/>
      <c r="C197" s="102">
        <v>12</v>
      </c>
      <c r="D197" s="203">
        <v>1027026</v>
      </c>
      <c r="E197" s="203"/>
      <c r="F197" s="103" t="s">
        <v>209</v>
      </c>
      <c r="G197" s="204"/>
      <c r="H197" s="204"/>
      <c r="I197" s="204"/>
      <c r="J197" s="204"/>
    </row>
    <row r="198" spans="1:10" ht="20.25" customHeight="1" outlineLevel="1">
      <c r="A198" s="202" t="s">
        <v>219</v>
      </c>
      <c r="B198" s="202"/>
      <c r="C198" s="102">
        <v>12</v>
      </c>
      <c r="D198" s="203">
        <v>51078</v>
      </c>
      <c r="E198" s="203"/>
      <c r="F198" s="103" t="s">
        <v>209</v>
      </c>
      <c r="G198" s="204"/>
      <c r="H198" s="204"/>
      <c r="I198" s="204"/>
      <c r="J198" s="204"/>
    </row>
    <row r="199" spans="1:10" ht="20.25" customHeight="1" outlineLevel="1">
      <c r="A199" s="202" t="s">
        <v>323</v>
      </c>
      <c r="B199" s="202"/>
      <c r="C199" s="102">
        <v>12</v>
      </c>
      <c r="D199" s="203">
        <v>507100</v>
      </c>
      <c r="E199" s="203"/>
      <c r="F199" s="103" t="s">
        <v>209</v>
      </c>
      <c r="G199" s="204"/>
      <c r="H199" s="204"/>
      <c r="I199" s="204"/>
      <c r="J199" s="204"/>
    </row>
    <row r="200" spans="1:10" ht="20.25" customHeight="1" outlineLevel="1">
      <c r="A200" s="202" t="s">
        <v>324</v>
      </c>
      <c r="B200" s="202"/>
      <c r="C200" s="102">
        <v>12</v>
      </c>
      <c r="D200" s="203">
        <v>-5615082</v>
      </c>
      <c r="E200" s="203"/>
      <c r="F200" s="103" t="s">
        <v>209</v>
      </c>
      <c r="G200" s="204"/>
      <c r="H200" s="204"/>
      <c r="I200" s="204"/>
      <c r="J200" s="204"/>
    </row>
    <row r="201" spans="1:10" ht="20.25" customHeight="1" outlineLevel="1">
      <c r="A201" s="202" t="s">
        <v>214</v>
      </c>
      <c r="B201" s="202"/>
      <c r="C201" s="102">
        <v>12</v>
      </c>
      <c r="D201" s="203">
        <v>-1094060</v>
      </c>
      <c r="E201" s="203"/>
      <c r="F201" s="103" t="s">
        <v>209</v>
      </c>
      <c r="G201" s="204"/>
      <c r="H201" s="204"/>
      <c r="I201" s="204"/>
      <c r="J201" s="204"/>
    </row>
    <row r="202" spans="1:10" ht="20.25" customHeight="1" outlineLevel="1">
      <c r="A202" s="202" t="s">
        <v>221</v>
      </c>
      <c r="B202" s="202"/>
      <c r="C202" s="102">
        <v>12</v>
      </c>
      <c r="D202" s="203">
        <v>136950</v>
      </c>
      <c r="E202" s="203"/>
      <c r="F202" s="103" t="s">
        <v>209</v>
      </c>
      <c r="G202" s="204"/>
      <c r="H202" s="204"/>
      <c r="I202" s="204"/>
      <c r="J202" s="204"/>
    </row>
    <row r="203" spans="1:10" ht="20.25" customHeight="1" outlineLevel="1">
      <c r="A203" s="202" t="s">
        <v>325</v>
      </c>
      <c r="B203" s="202"/>
      <c r="C203" s="102">
        <v>12</v>
      </c>
      <c r="D203" s="203">
        <v>14366</v>
      </c>
      <c r="E203" s="203"/>
      <c r="F203" s="103" t="s">
        <v>209</v>
      </c>
      <c r="G203" s="204"/>
      <c r="H203" s="204"/>
      <c r="I203" s="204"/>
      <c r="J203" s="204"/>
    </row>
    <row r="204" spans="1:10" ht="20.25" customHeight="1" outlineLevel="1">
      <c r="A204" s="202" t="s">
        <v>314</v>
      </c>
      <c r="B204" s="202"/>
      <c r="C204" s="102">
        <v>12</v>
      </c>
      <c r="D204" s="203">
        <v>-14366</v>
      </c>
      <c r="E204" s="203"/>
      <c r="F204" s="103" t="s">
        <v>209</v>
      </c>
      <c r="G204" s="213" t="s">
        <v>315</v>
      </c>
      <c r="H204" s="214"/>
      <c r="I204" s="214" t="s">
        <v>316</v>
      </c>
      <c r="J204" s="214"/>
    </row>
    <row r="205" spans="1:10" ht="20.25" customHeight="1" outlineLevel="1">
      <c r="A205" s="202" t="s">
        <v>220</v>
      </c>
      <c r="B205" s="202"/>
      <c r="C205" s="102">
        <v>12</v>
      </c>
      <c r="D205" s="203">
        <v>59950</v>
      </c>
      <c r="E205" s="203"/>
      <c r="F205" s="103" t="s">
        <v>209</v>
      </c>
      <c r="G205" s="204"/>
      <c r="H205" s="204"/>
      <c r="I205" s="204"/>
      <c r="J205" s="204"/>
    </row>
    <row r="206" spans="1:10" ht="20.25" customHeight="1" outlineLevel="1">
      <c r="A206" s="202" t="s">
        <v>218</v>
      </c>
      <c r="B206" s="202"/>
      <c r="C206" s="102">
        <v>12</v>
      </c>
      <c r="D206" s="203">
        <v>452927</v>
      </c>
      <c r="E206" s="203"/>
      <c r="F206" s="103" t="s">
        <v>209</v>
      </c>
      <c r="G206" s="204"/>
      <c r="H206" s="204"/>
      <c r="I206" s="204"/>
      <c r="J206" s="204"/>
    </row>
    <row r="207" spans="1:10" ht="20.25" customHeight="1" outlineLevel="1">
      <c r="A207" s="202" t="s">
        <v>227</v>
      </c>
      <c r="B207" s="202"/>
      <c r="C207" s="102">
        <v>12</v>
      </c>
      <c r="D207" s="203">
        <v>30195</v>
      </c>
      <c r="E207" s="203"/>
      <c r="F207" s="103" t="s">
        <v>209</v>
      </c>
      <c r="G207" s="204"/>
      <c r="H207" s="204"/>
      <c r="I207" s="204"/>
      <c r="J207" s="204"/>
    </row>
    <row r="208" spans="1:10" ht="20.25" customHeight="1" outlineLevel="1">
      <c r="A208" s="202" t="s">
        <v>309</v>
      </c>
      <c r="B208" s="202"/>
      <c r="C208" s="102">
        <v>12</v>
      </c>
      <c r="D208" s="203">
        <v>78320</v>
      </c>
      <c r="E208" s="203"/>
      <c r="F208" s="103" t="s">
        <v>209</v>
      </c>
      <c r="G208" s="204"/>
      <c r="H208" s="204"/>
      <c r="I208" s="204"/>
      <c r="J208" s="204"/>
    </row>
    <row r="209" spans="1:10" ht="20.25" customHeight="1" outlineLevel="1">
      <c r="A209" s="202"/>
      <c r="B209" s="202"/>
      <c r="C209" s="102"/>
      <c r="D209" s="203"/>
      <c r="E209" s="203"/>
      <c r="F209" s="103"/>
      <c r="G209" s="204"/>
      <c r="H209" s="204"/>
      <c r="I209" s="204"/>
      <c r="J209" s="204"/>
    </row>
    <row r="210" spans="1:10" ht="20.25" customHeight="1" outlineLevel="1">
      <c r="A210" s="205" t="s">
        <v>124</v>
      </c>
      <c r="B210" s="205"/>
      <c r="C210" s="129"/>
      <c r="D210" s="206">
        <f>SUM(D190:E209)</f>
        <v>62789</v>
      </c>
      <c r="E210" s="206"/>
      <c r="F210" s="130"/>
      <c r="G210" s="207"/>
      <c r="H210" s="207"/>
      <c r="I210" s="207"/>
      <c r="J210" s="207"/>
    </row>
    <row r="211" spans="1:10" ht="20.25" customHeight="1" outlineLevel="1">
      <c r="A211" s="202"/>
      <c r="B211" s="202"/>
      <c r="C211" s="102"/>
      <c r="D211" s="203"/>
      <c r="E211" s="203"/>
      <c r="F211" s="103"/>
      <c r="G211" s="204"/>
      <c r="H211" s="204"/>
      <c r="I211" s="204"/>
      <c r="J211" s="204"/>
    </row>
    <row r="212" spans="1:10" ht="20.25" customHeight="1" outlineLevel="1">
      <c r="A212" s="202" t="s">
        <v>330</v>
      </c>
      <c r="B212" s="202"/>
      <c r="C212" s="102"/>
      <c r="D212" s="203"/>
      <c r="E212" s="203"/>
      <c r="F212" s="103"/>
      <c r="G212" s="204"/>
      <c r="H212" s="204"/>
      <c r="I212" s="204"/>
      <c r="J212" s="204"/>
    </row>
    <row r="213" spans="1:10" ht="20.25" customHeight="1" outlineLevel="1">
      <c r="A213" s="209" t="s">
        <v>331</v>
      </c>
      <c r="B213" s="209"/>
      <c r="C213" s="102"/>
      <c r="D213" s="203"/>
      <c r="E213" s="203"/>
      <c r="F213" s="103"/>
      <c r="G213" s="204"/>
      <c r="H213" s="204"/>
      <c r="I213" s="204"/>
      <c r="J213" s="204"/>
    </row>
    <row r="214" spans="1:10" ht="20.25" customHeight="1" outlineLevel="1">
      <c r="A214" s="202" t="s">
        <v>215</v>
      </c>
      <c r="B214" s="202"/>
      <c r="C214" s="102">
        <v>1</v>
      </c>
      <c r="D214" s="203">
        <v>-25557312</v>
      </c>
      <c r="E214" s="203"/>
      <c r="F214" s="103" t="s">
        <v>209</v>
      </c>
      <c r="G214" s="204"/>
      <c r="H214" s="204"/>
      <c r="I214" s="204"/>
      <c r="J214" s="204"/>
    </row>
    <row r="215" spans="1:10" ht="20.25" customHeight="1" outlineLevel="1">
      <c r="A215" s="202" t="s">
        <v>214</v>
      </c>
      <c r="B215" s="202"/>
      <c r="C215" s="102">
        <v>1</v>
      </c>
      <c r="D215" s="203">
        <v>-1862267</v>
      </c>
      <c r="E215" s="203"/>
      <c r="F215" s="103" t="s">
        <v>209</v>
      </c>
      <c r="G215" s="204"/>
      <c r="H215" s="204"/>
      <c r="I215" s="204"/>
      <c r="J215" s="204"/>
    </row>
    <row r="216" spans="1:10" ht="20.25" customHeight="1" outlineLevel="1">
      <c r="A216" s="202" t="s">
        <v>211</v>
      </c>
      <c r="B216" s="202"/>
      <c r="C216" s="102">
        <v>1</v>
      </c>
      <c r="D216" s="203">
        <v>-8170162</v>
      </c>
      <c r="E216" s="203"/>
      <c r="F216" s="103" t="s">
        <v>209</v>
      </c>
      <c r="G216" s="204"/>
      <c r="H216" s="204"/>
      <c r="I216" s="204"/>
      <c r="J216" s="204"/>
    </row>
    <row r="217" spans="1:10" ht="20.25" customHeight="1" outlineLevel="1">
      <c r="A217" s="202" t="s">
        <v>222</v>
      </c>
      <c r="B217" s="202"/>
      <c r="C217" s="102">
        <v>1</v>
      </c>
      <c r="D217" s="203">
        <v>7120581</v>
      </c>
      <c r="E217" s="203"/>
      <c r="F217" s="103" t="s">
        <v>209</v>
      </c>
      <c r="G217" s="204"/>
      <c r="H217" s="204"/>
      <c r="I217" s="204"/>
      <c r="J217" s="204"/>
    </row>
    <row r="218" spans="1:10" ht="20.25" customHeight="1" outlineLevel="1">
      <c r="A218" s="202" t="s">
        <v>219</v>
      </c>
      <c r="B218" s="202"/>
      <c r="C218" s="102">
        <v>1</v>
      </c>
      <c r="D218" s="203">
        <v>23408</v>
      </c>
      <c r="E218" s="203"/>
      <c r="F218" s="103" t="s">
        <v>209</v>
      </c>
      <c r="G218" s="204"/>
      <c r="H218" s="204"/>
      <c r="I218" s="204"/>
      <c r="J218" s="204"/>
    </row>
    <row r="219" spans="1:10" ht="20.25" customHeight="1" outlineLevel="1">
      <c r="A219" s="202" t="s">
        <v>229</v>
      </c>
      <c r="B219" s="202"/>
      <c r="C219" s="102">
        <v>1</v>
      </c>
      <c r="D219" s="203">
        <v>5280000</v>
      </c>
      <c r="E219" s="203"/>
      <c r="F219" s="103" t="s">
        <v>209</v>
      </c>
      <c r="G219" s="210" t="s">
        <v>333</v>
      </c>
      <c r="H219" s="211"/>
      <c r="I219" s="212">
        <f>SUM(D122+D165+D180+D194+D219)</f>
        <v>33440000</v>
      </c>
      <c r="J219" s="204"/>
    </row>
    <row r="220" spans="1:10" ht="20.25" customHeight="1" outlineLevel="1">
      <c r="A220" s="202" t="s">
        <v>226</v>
      </c>
      <c r="B220" s="202"/>
      <c r="C220" s="102">
        <v>1</v>
      </c>
      <c r="D220" s="203">
        <v>1410016</v>
      </c>
      <c r="E220" s="203"/>
      <c r="F220" s="103" t="s">
        <v>209</v>
      </c>
      <c r="G220" s="204"/>
      <c r="H220" s="204"/>
      <c r="I220" s="204"/>
      <c r="J220" s="204"/>
    </row>
    <row r="221" spans="1:10" ht="20.25" customHeight="1" outlineLevel="1">
      <c r="A221" s="202" t="s">
        <v>220</v>
      </c>
      <c r="B221" s="202"/>
      <c r="C221" s="102">
        <v>1</v>
      </c>
      <c r="D221" s="203">
        <v>59950</v>
      </c>
      <c r="E221" s="203"/>
      <c r="F221" s="103" t="s">
        <v>209</v>
      </c>
      <c r="G221" s="204"/>
      <c r="H221" s="204"/>
      <c r="I221" s="204"/>
      <c r="J221" s="204"/>
    </row>
    <row r="222" spans="1:10" ht="20.25" customHeight="1" outlineLevel="1">
      <c r="A222" s="202" t="s">
        <v>320</v>
      </c>
      <c r="B222" s="202"/>
      <c r="C222" s="102">
        <v>1</v>
      </c>
      <c r="D222" s="203">
        <v>5627600</v>
      </c>
      <c r="E222" s="203"/>
      <c r="F222" s="103" t="s">
        <v>209</v>
      </c>
      <c r="G222" s="204"/>
      <c r="H222" s="204"/>
      <c r="I222" s="204"/>
      <c r="J222" s="204"/>
    </row>
    <row r="223" spans="1:10" ht="20.25" customHeight="1" outlineLevel="1">
      <c r="A223" s="202" t="s">
        <v>217</v>
      </c>
      <c r="B223" s="202"/>
      <c r="C223" s="102">
        <v>1</v>
      </c>
      <c r="D223" s="203">
        <v>42570</v>
      </c>
      <c r="E223" s="203"/>
      <c r="F223" s="103" t="s">
        <v>209</v>
      </c>
      <c r="G223" s="204"/>
      <c r="H223" s="204"/>
      <c r="I223" s="204"/>
      <c r="J223" s="204"/>
    </row>
    <row r="224" spans="1:10" ht="20.25" customHeight="1" outlineLevel="1">
      <c r="A224" s="202" t="s">
        <v>221</v>
      </c>
      <c r="B224" s="202"/>
      <c r="C224" s="102">
        <v>1</v>
      </c>
      <c r="D224" s="203">
        <v>142340</v>
      </c>
      <c r="E224" s="203"/>
      <c r="F224" s="103" t="s">
        <v>209</v>
      </c>
      <c r="G224" s="204"/>
      <c r="H224" s="204"/>
      <c r="I224" s="204"/>
      <c r="J224" s="204"/>
    </row>
    <row r="225" spans="1:10" ht="20.25" customHeight="1" outlineLevel="1">
      <c r="A225" s="202" t="s">
        <v>304</v>
      </c>
      <c r="B225" s="202"/>
      <c r="C225" s="102">
        <v>1</v>
      </c>
      <c r="D225" s="203">
        <v>6380</v>
      </c>
      <c r="E225" s="203"/>
      <c r="F225" s="103" t="s">
        <v>209</v>
      </c>
      <c r="G225" s="204"/>
      <c r="H225" s="204"/>
      <c r="I225" s="204"/>
      <c r="J225" s="204"/>
    </row>
    <row r="226" spans="1:10" ht="20.25" customHeight="1" outlineLevel="1">
      <c r="A226" s="202" t="s">
        <v>218</v>
      </c>
      <c r="B226" s="202"/>
      <c r="C226" s="102">
        <v>1</v>
      </c>
      <c r="D226" s="203">
        <v>836288</v>
      </c>
      <c r="E226" s="203"/>
      <c r="F226" s="103" t="s">
        <v>209</v>
      </c>
      <c r="G226" s="204"/>
      <c r="H226" s="204"/>
      <c r="I226" s="204"/>
      <c r="J226" s="204"/>
    </row>
    <row r="227" spans="1:10" ht="20.25" customHeight="1" outlineLevel="1">
      <c r="A227" s="202" t="s">
        <v>325</v>
      </c>
      <c r="B227" s="202"/>
      <c r="C227" s="102">
        <v>1</v>
      </c>
      <c r="D227" s="203">
        <v>14300</v>
      </c>
      <c r="E227" s="203"/>
      <c r="F227" s="103" t="s">
        <v>209</v>
      </c>
      <c r="G227" s="204"/>
      <c r="H227" s="204"/>
      <c r="I227" s="204"/>
      <c r="J227" s="204"/>
    </row>
    <row r="228" spans="1:10" ht="20.25" customHeight="1" outlineLevel="1">
      <c r="A228" s="202" t="s">
        <v>227</v>
      </c>
      <c r="B228" s="202"/>
      <c r="C228" s="102">
        <v>1</v>
      </c>
      <c r="D228" s="203">
        <v>28512</v>
      </c>
      <c r="E228" s="203"/>
      <c r="F228" s="103" t="s">
        <v>209</v>
      </c>
      <c r="G228" s="204"/>
      <c r="H228" s="204"/>
      <c r="I228" s="204"/>
      <c r="J228" s="204"/>
    </row>
    <row r="229" spans="1:10" ht="20.25" customHeight="1" outlineLevel="1">
      <c r="A229" s="202" t="s">
        <v>223</v>
      </c>
      <c r="B229" s="202"/>
      <c r="C229" s="102">
        <v>1</v>
      </c>
      <c r="D229" s="203">
        <v>3300</v>
      </c>
      <c r="E229" s="203"/>
      <c r="F229" s="103" t="s">
        <v>209</v>
      </c>
      <c r="G229" s="204"/>
      <c r="H229" s="204"/>
      <c r="I229" s="204"/>
      <c r="J229" s="204"/>
    </row>
    <row r="230" spans="1:10" ht="20.25" customHeight="1" outlineLevel="1">
      <c r="A230" s="202" t="s">
        <v>323</v>
      </c>
      <c r="B230" s="202"/>
      <c r="C230" s="102">
        <v>1</v>
      </c>
      <c r="D230" s="203">
        <v>66000</v>
      </c>
      <c r="E230" s="203"/>
      <c r="F230" s="103" t="s">
        <v>209</v>
      </c>
      <c r="G230" s="204"/>
      <c r="H230" s="204"/>
      <c r="I230" s="204"/>
      <c r="J230" s="204"/>
    </row>
    <row r="231" spans="1:10" ht="20.25" customHeight="1" outlineLevel="1">
      <c r="A231" s="202"/>
      <c r="B231" s="202"/>
      <c r="C231" s="102"/>
      <c r="D231" s="203"/>
      <c r="E231" s="203"/>
      <c r="F231" s="103"/>
      <c r="G231" s="204"/>
      <c r="H231" s="204"/>
      <c r="I231" s="204"/>
      <c r="J231" s="204"/>
    </row>
    <row r="232" spans="1:10" ht="20.25" customHeight="1" outlineLevel="1">
      <c r="A232" s="202"/>
      <c r="B232" s="202"/>
      <c r="C232" s="102"/>
      <c r="D232" s="203"/>
      <c r="E232" s="203"/>
      <c r="F232" s="103"/>
      <c r="G232" s="204"/>
      <c r="H232" s="204"/>
      <c r="I232" s="204"/>
      <c r="J232" s="204"/>
    </row>
    <row r="233" spans="1:10" ht="20.25" customHeight="1" outlineLevel="1">
      <c r="A233" s="205" t="s">
        <v>124</v>
      </c>
      <c r="B233" s="205"/>
      <c r="C233" s="129"/>
      <c r="D233" s="206">
        <f>SUM(D214:E232)</f>
        <v>-14928496</v>
      </c>
      <c r="E233" s="206"/>
      <c r="F233" s="130"/>
      <c r="G233" s="207"/>
      <c r="H233" s="207"/>
      <c r="I233" s="207"/>
      <c r="J233" s="207"/>
    </row>
    <row r="234" spans="1:10" ht="20.25" customHeight="1" outlineLevel="1">
      <c r="A234" s="202"/>
      <c r="B234" s="202"/>
      <c r="C234" s="102"/>
      <c r="D234" s="203"/>
      <c r="E234" s="203"/>
      <c r="F234" s="103"/>
      <c r="G234" s="204"/>
      <c r="H234" s="204"/>
      <c r="I234" s="204"/>
      <c r="J234" s="204"/>
    </row>
    <row r="235" spans="1:10" ht="20.25" customHeight="1" outlineLevel="1">
      <c r="A235" s="209" t="s">
        <v>334</v>
      </c>
      <c r="B235" s="209"/>
      <c r="C235" s="102"/>
      <c r="D235" s="203"/>
      <c r="E235" s="203"/>
      <c r="F235" s="103"/>
      <c r="G235" s="204"/>
      <c r="H235" s="204"/>
      <c r="I235" s="204"/>
      <c r="J235" s="204"/>
    </row>
    <row r="236" spans="1:10" ht="20.25" customHeight="1" outlineLevel="1">
      <c r="A236" s="202" t="s">
        <v>211</v>
      </c>
      <c r="B236" s="202"/>
      <c r="C236" s="102">
        <v>2</v>
      </c>
      <c r="D236" s="203">
        <v>-6320886</v>
      </c>
      <c r="E236" s="203"/>
      <c r="F236" s="103" t="s">
        <v>209</v>
      </c>
      <c r="G236" s="204"/>
      <c r="H236" s="204"/>
      <c r="I236" s="204"/>
      <c r="J236" s="204"/>
    </row>
    <row r="237" spans="1:10" ht="20.25" customHeight="1" outlineLevel="1">
      <c r="A237" s="202" t="s">
        <v>214</v>
      </c>
      <c r="B237" s="202"/>
      <c r="C237" s="102">
        <v>2</v>
      </c>
      <c r="D237" s="203">
        <v>-3502609</v>
      </c>
      <c r="E237" s="203"/>
      <c r="F237" s="103" t="s">
        <v>209</v>
      </c>
      <c r="G237" s="204"/>
      <c r="H237" s="204"/>
      <c r="I237" s="204"/>
      <c r="J237" s="204"/>
    </row>
    <row r="238" spans="1:10" ht="20.25" customHeight="1" outlineLevel="1">
      <c r="A238" s="202" t="s">
        <v>215</v>
      </c>
      <c r="B238" s="202"/>
      <c r="C238" s="102">
        <v>2</v>
      </c>
      <c r="D238" s="203">
        <v>-49260029</v>
      </c>
      <c r="E238" s="203"/>
      <c r="F238" s="103" t="s">
        <v>209</v>
      </c>
      <c r="G238" s="204"/>
      <c r="H238" s="204"/>
      <c r="I238" s="204"/>
      <c r="J238" s="204"/>
    </row>
    <row r="239" spans="1:10" ht="20.25" customHeight="1" outlineLevel="1">
      <c r="A239" s="202" t="s">
        <v>226</v>
      </c>
      <c r="B239" s="202"/>
      <c r="C239" s="102">
        <v>2</v>
      </c>
      <c r="D239" s="203">
        <v>547176</v>
      </c>
      <c r="E239" s="203"/>
      <c r="F239" s="103" t="s">
        <v>209</v>
      </c>
      <c r="G239" s="204"/>
      <c r="H239" s="204"/>
      <c r="I239" s="204"/>
      <c r="J239" s="204"/>
    </row>
    <row r="240" spans="1:10" ht="20.25" customHeight="1" outlineLevel="1">
      <c r="A240" s="202" t="s">
        <v>222</v>
      </c>
      <c r="B240" s="202"/>
      <c r="C240" s="102">
        <v>2</v>
      </c>
      <c r="D240" s="203">
        <v>7641667</v>
      </c>
      <c r="E240" s="203"/>
      <c r="F240" s="103" t="s">
        <v>209</v>
      </c>
      <c r="G240" s="204"/>
      <c r="H240" s="204"/>
      <c r="I240" s="204"/>
      <c r="J240" s="204"/>
    </row>
    <row r="241" spans="1:10" ht="20.25" customHeight="1" outlineLevel="1">
      <c r="A241" s="202" t="s">
        <v>304</v>
      </c>
      <c r="B241" s="202"/>
      <c r="C241" s="102">
        <v>2</v>
      </c>
      <c r="D241" s="203">
        <v>57640</v>
      </c>
      <c r="E241" s="203"/>
      <c r="F241" s="103" t="s">
        <v>209</v>
      </c>
      <c r="G241" s="204"/>
      <c r="H241" s="204"/>
      <c r="I241" s="204"/>
      <c r="J241" s="204"/>
    </row>
    <row r="242" spans="1:10" ht="20.25" customHeight="1" outlineLevel="1">
      <c r="A242" s="202" t="s">
        <v>221</v>
      </c>
      <c r="B242" s="202"/>
      <c r="C242" s="102">
        <v>2</v>
      </c>
      <c r="D242" s="203">
        <v>66000</v>
      </c>
      <c r="E242" s="203"/>
      <c r="F242" s="103" t="s">
        <v>209</v>
      </c>
      <c r="G242" s="204"/>
      <c r="H242" s="204"/>
      <c r="I242" s="204"/>
      <c r="J242" s="204"/>
    </row>
    <row r="243" spans="1:10" ht="20.25" customHeight="1" outlineLevel="1">
      <c r="A243" s="202" t="s">
        <v>227</v>
      </c>
      <c r="B243" s="202"/>
      <c r="C243" s="102">
        <v>2</v>
      </c>
      <c r="D243" s="203">
        <v>182842</v>
      </c>
      <c r="E243" s="203"/>
      <c r="F243" s="103" t="s">
        <v>209</v>
      </c>
      <c r="G243" s="204"/>
      <c r="H243" s="204"/>
      <c r="I243" s="204"/>
      <c r="J243" s="204"/>
    </row>
    <row r="244" spans="1:10" ht="20.25" customHeight="1" outlineLevel="1">
      <c r="A244" s="202" t="s">
        <v>325</v>
      </c>
      <c r="B244" s="202"/>
      <c r="C244" s="102">
        <v>2</v>
      </c>
      <c r="D244" s="203">
        <v>502810</v>
      </c>
      <c r="E244" s="203"/>
      <c r="F244" s="103" t="s">
        <v>209</v>
      </c>
      <c r="G244" s="204"/>
      <c r="H244" s="204"/>
      <c r="I244" s="204"/>
      <c r="J244" s="204"/>
    </row>
    <row r="245" spans="1:10" ht="20.25" customHeight="1" outlineLevel="1">
      <c r="A245" s="202" t="s">
        <v>339</v>
      </c>
      <c r="B245" s="202"/>
      <c r="C245" s="102">
        <v>2</v>
      </c>
      <c r="D245" s="203">
        <v>44000</v>
      </c>
      <c r="E245" s="203"/>
      <c r="F245" s="103" t="s">
        <v>209</v>
      </c>
      <c r="G245" s="204"/>
      <c r="H245" s="204"/>
      <c r="I245" s="204"/>
      <c r="J245" s="204"/>
    </row>
    <row r="246" spans="1:10" ht="20.25" customHeight="1" outlineLevel="1">
      <c r="A246" s="202" t="s">
        <v>324</v>
      </c>
      <c r="B246" s="202"/>
      <c r="C246" s="102">
        <v>2</v>
      </c>
      <c r="D246" s="203">
        <v>193017</v>
      </c>
      <c r="E246" s="203"/>
      <c r="F246" s="103" t="s">
        <v>209</v>
      </c>
      <c r="G246" s="204"/>
      <c r="H246" s="204"/>
      <c r="I246" s="204" t="s">
        <v>340</v>
      </c>
      <c r="J246" s="204"/>
    </row>
    <row r="247" spans="1:10" ht="20.25" customHeight="1" outlineLevel="1">
      <c r="A247" s="202" t="s">
        <v>320</v>
      </c>
      <c r="B247" s="202"/>
      <c r="C247" s="102">
        <v>2</v>
      </c>
      <c r="D247" s="203">
        <v>1757800</v>
      </c>
      <c r="E247" s="203"/>
      <c r="F247" s="103" t="s">
        <v>209</v>
      </c>
      <c r="G247" s="204"/>
      <c r="H247" s="204"/>
      <c r="I247" s="204"/>
      <c r="J247" s="204"/>
    </row>
    <row r="248" spans="1:10" ht="20.25" customHeight="1" outlineLevel="1">
      <c r="A248" s="202" t="s">
        <v>219</v>
      </c>
      <c r="B248" s="202"/>
      <c r="C248" s="102">
        <v>2</v>
      </c>
      <c r="D248" s="203">
        <v>15840</v>
      </c>
      <c r="E248" s="203"/>
      <c r="F248" s="103" t="s">
        <v>209</v>
      </c>
      <c r="G248" s="204"/>
      <c r="H248" s="204"/>
      <c r="I248" s="204"/>
      <c r="J248" s="204"/>
    </row>
    <row r="249" spans="1:10" ht="20.25" customHeight="1" outlineLevel="1">
      <c r="A249" s="202" t="s">
        <v>218</v>
      </c>
      <c r="B249" s="202"/>
      <c r="C249" s="102">
        <v>2</v>
      </c>
      <c r="D249" s="203">
        <v>1193116</v>
      </c>
      <c r="E249" s="203"/>
      <c r="F249" s="103" t="s">
        <v>209</v>
      </c>
      <c r="G249" s="204"/>
      <c r="H249" s="204"/>
      <c r="I249" s="204"/>
      <c r="J249" s="204"/>
    </row>
    <row r="250" spans="1:10" ht="20.25" customHeight="1" outlineLevel="1">
      <c r="A250" s="202" t="s">
        <v>303</v>
      </c>
      <c r="B250" s="202"/>
      <c r="C250" s="102">
        <v>2</v>
      </c>
      <c r="D250" s="203">
        <v>11480000</v>
      </c>
      <c r="E250" s="203"/>
      <c r="F250" s="103" t="s">
        <v>209</v>
      </c>
      <c r="G250" s="204" t="s">
        <v>341</v>
      </c>
      <c r="H250" s="204"/>
      <c r="I250" s="204"/>
      <c r="J250" s="204"/>
    </row>
    <row r="251" spans="1:10" ht="20.25" customHeight="1" outlineLevel="1">
      <c r="A251" s="202" t="s">
        <v>314</v>
      </c>
      <c r="B251" s="202"/>
      <c r="C251" s="102">
        <v>2</v>
      </c>
      <c r="D251" s="203">
        <v>1709368</v>
      </c>
      <c r="E251" s="203"/>
      <c r="F251" s="103" t="s">
        <v>209</v>
      </c>
      <c r="G251" s="204" t="s">
        <v>342</v>
      </c>
      <c r="H251" s="204"/>
      <c r="I251" s="208" t="s">
        <v>343</v>
      </c>
      <c r="J251" s="208"/>
    </row>
    <row r="252" spans="1:10" ht="20.25" customHeight="1" outlineLevel="1">
      <c r="A252" s="202" t="s">
        <v>220</v>
      </c>
      <c r="B252" s="202"/>
      <c r="C252" s="102">
        <v>2</v>
      </c>
      <c r="D252" s="203">
        <v>2918608</v>
      </c>
      <c r="E252" s="203"/>
      <c r="F252" s="103" t="s">
        <v>209</v>
      </c>
      <c r="G252" s="204"/>
      <c r="H252" s="204"/>
      <c r="I252" s="204"/>
      <c r="J252" s="204"/>
    </row>
    <row r="253" spans="1:10" ht="20.25" customHeight="1" outlineLevel="1">
      <c r="A253" s="202" t="s">
        <v>224</v>
      </c>
      <c r="B253" s="202"/>
      <c r="C253" s="102">
        <v>2</v>
      </c>
      <c r="D253" s="203">
        <v>748000</v>
      </c>
      <c r="E253" s="203"/>
      <c r="F253" s="103" t="s">
        <v>209</v>
      </c>
      <c r="G253" s="204" t="s">
        <v>344</v>
      </c>
      <c r="H253" s="204"/>
      <c r="I253" s="204"/>
      <c r="J253" s="204"/>
    </row>
    <row r="254" spans="1:10" ht="20.25" customHeight="1" outlineLevel="1">
      <c r="A254" s="202"/>
      <c r="B254" s="202"/>
      <c r="C254" s="102"/>
      <c r="D254" s="203"/>
      <c r="E254" s="203"/>
      <c r="F254" s="103"/>
      <c r="G254" s="204"/>
      <c r="H254" s="204"/>
      <c r="I254" s="204"/>
      <c r="J254" s="204"/>
    </row>
    <row r="255" spans="1:10" ht="20.25" customHeight="1" outlineLevel="1">
      <c r="A255" s="202"/>
      <c r="B255" s="202"/>
      <c r="C255" s="102"/>
      <c r="D255" s="203"/>
      <c r="E255" s="203"/>
      <c r="F255" s="103"/>
      <c r="G255" s="204"/>
      <c r="H255" s="204"/>
      <c r="I255" s="204"/>
      <c r="J255" s="204"/>
    </row>
    <row r="256" spans="1:10" ht="20.25" customHeight="1" outlineLevel="1">
      <c r="A256" s="202"/>
      <c r="B256" s="202"/>
      <c r="C256" s="102"/>
      <c r="D256" s="203"/>
      <c r="E256" s="203"/>
      <c r="F256" s="103"/>
      <c r="G256" s="204"/>
      <c r="H256" s="204"/>
      <c r="I256" s="204"/>
      <c r="J256" s="204"/>
    </row>
    <row r="257" spans="1:10" ht="20.25" customHeight="1" outlineLevel="1">
      <c r="A257" s="205" t="s">
        <v>124</v>
      </c>
      <c r="B257" s="205"/>
      <c r="C257" s="129"/>
      <c r="D257" s="206">
        <f>SUM(D236:E256)</f>
        <v>-30025640</v>
      </c>
      <c r="E257" s="206"/>
      <c r="F257" s="130"/>
      <c r="G257" s="207"/>
      <c r="H257" s="207"/>
      <c r="I257" s="207"/>
      <c r="J257" s="207"/>
    </row>
    <row r="258" spans="1:10" ht="20.25" customHeight="1" outlineLevel="1">
      <c r="A258" s="202"/>
      <c r="B258" s="202"/>
      <c r="C258" s="102"/>
      <c r="D258" s="203"/>
      <c r="E258" s="203"/>
      <c r="F258" s="103"/>
      <c r="G258" s="204"/>
      <c r="H258" s="204"/>
      <c r="I258" s="204"/>
      <c r="J258" s="204"/>
    </row>
    <row r="259" spans="1:10" ht="20.25" customHeight="1">
      <c r="A259" s="202"/>
      <c r="B259" s="202"/>
      <c r="C259" s="102"/>
      <c r="D259" s="203"/>
      <c r="E259" s="203"/>
      <c r="F259" s="103"/>
      <c r="G259" s="204"/>
      <c r="H259" s="204"/>
      <c r="I259" s="204"/>
      <c r="J259" s="204"/>
    </row>
    <row r="260" spans="1:10" ht="20.25" customHeight="1">
      <c r="A260" s="295" t="s">
        <v>207</v>
      </c>
      <c r="B260" s="295"/>
      <c r="C260" s="131"/>
      <c r="D260" s="296">
        <f>SUM(D42+D60+D76+D95+D109+D129+D147+D167+D187+D210+D233+D257)</f>
        <v>39575730</v>
      </c>
      <c r="E260" s="296"/>
      <c r="F260" s="132"/>
      <c r="G260" s="297"/>
      <c r="H260" s="297"/>
      <c r="I260" s="297"/>
      <c r="J260" s="297"/>
    </row>
    <row r="261" spans="1:10" ht="20.25" customHeight="1">
      <c r="A261" s="202"/>
      <c r="B261" s="202"/>
      <c r="C261" s="102"/>
      <c r="D261" s="309"/>
      <c r="E261" s="309"/>
      <c r="F261" s="103"/>
      <c r="G261" s="204"/>
      <c r="H261" s="204"/>
      <c r="I261" s="204"/>
      <c r="J261" s="204"/>
    </row>
    <row r="262" spans="1:10" ht="20.25" customHeight="1" thickBot="1">
      <c r="A262" s="99"/>
      <c r="B262" s="99"/>
    </row>
    <row r="263" spans="1:10" ht="20.25" customHeight="1" thickBot="1">
      <c r="A263" s="47" t="s">
        <v>27</v>
      </c>
      <c r="B263" s="111" t="s">
        <v>62</v>
      </c>
      <c r="C263" s="310" t="s">
        <v>58</v>
      </c>
      <c r="D263" s="311"/>
      <c r="E263" s="100" t="s">
        <v>28</v>
      </c>
      <c r="F263" s="111" t="s">
        <v>63</v>
      </c>
      <c r="G263" s="312" t="s">
        <v>29</v>
      </c>
      <c r="H263" s="313"/>
      <c r="I263" s="313"/>
      <c r="J263" s="48" t="s">
        <v>30</v>
      </c>
    </row>
    <row r="264" spans="1:10" ht="20.25" customHeight="1">
      <c r="A264" s="117" t="s">
        <v>177</v>
      </c>
      <c r="B264" s="112" t="s">
        <v>178</v>
      </c>
      <c r="C264" s="307">
        <v>8800000</v>
      </c>
      <c r="D264" s="308"/>
      <c r="E264" s="108"/>
      <c r="F264" s="113"/>
      <c r="G264" s="215"/>
      <c r="H264" s="215"/>
      <c r="I264" s="219"/>
      <c r="J264" s="109"/>
    </row>
    <row r="265" spans="1:10" ht="20.25" customHeight="1">
      <c r="A265" s="117"/>
      <c r="B265" s="113" t="s">
        <v>179</v>
      </c>
      <c r="C265" s="215">
        <v>-880000</v>
      </c>
      <c r="D265" s="216"/>
      <c r="E265" s="108" t="s">
        <v>180</v>
      </c>
      <c r="F265" s="113"/>
      <c r="G265" s="215">
        <v>7920000</v>
      </c>
      <c r="H265" s="215"/>
      <c r="I265" s="219"/>
      <c r="J265" s="118" t="s">
        <v>181</v>
      </c>
    </row>
    <row r="266" spans="1:10" ht="20.25" customHeight="1">
      <c r="A266" s="117"/>
      <c r="B266" s="113"/>
      <c r="C266" s="215"/>
      <c r="D266" s="216"/>
      <c r="E266" s="108"/>
      <c r="F266" s="134" t="s">
        <v>182</v>
      </c>
      <c r="G266" s="220" t="s">
        <v>183</v>
      </c>
      <c r="H266" s="217"/>
      <c r="I266" s="218"/>
      <c r="J266" s="118"/>
    </row>
    <row r="267" spans="1:10" ht="20.25" customHeight="1">
      <c r="A267" s="117" t="s">
        <v>185</v>
      </c>
      <c r="B267" s="113" t="s">
        <v>178</v>
      </c>
      <c r="C267" s="215">
        <v>18700000</v>
      </c>
      <c r="D267" s="216"/>
      <c r="E267" s="108"/>
      <c r="F267" s="113"/>
      <c r="G267" s="215"/>
      <c r="H267" s="215"/>
      <c r="I267" s="219"/>
      <c r="J267" s="118"/>
    </row>
    <row r="268" spans="1:10" ht="20.25" customHeight="1">
      <c r="A268" s="117"/>
      <c r="B268" s="113" t="s">
        <v>179</v>
      </c>
      <c r="C268" s="215">
        <v>-1870000</v>
      </c>
      <c r="D268" s="216"/>
      <c r="E268" s="108" t="s">
        <v>186</v>
      </c>
      <c r="F268" s="113"/>
      <c r="G268" s="215">
        <v>16830000</v>
      </c>
      <c r="H268" s="215"/>
      <c r="I268" s="219"/>
      <c r="J268" s="118" t="s">
        <v>181</v>
      </c>
    </row>
    <row r="269" spans="1:10" ht="20.25" customHeight="1">
      <c r="A269" s="117"/>
      <c r="B269" s="113"/>
      <c r="C269" s="215"/>
      <c r="D269" s="216"/>
      <c r="E269" s="108"/>
      <c r="F269" s="134" t="s">
        <v>182</v>
      </c>
      <c r="G269" s="217" t="s">
        <v>187</v>
      </c>
      <c r="H269" s="217"/>
      <c r="I269" s="218"/>
      <c r="J269" s="118"/>
    </row>
    <row r="270" spans="1:10" ht="20.25" customHeight="1">
      <c r="A270" s="117" t="s">
        <v>190</v>
      </c>
      <c r="B270" s="113" t="s">
        <v>178</v>
      </c>
      <c r="C270" s="215">
        <v>11000000</v>
      </c>
      <c r="D270" s="216"/>
      <c r="E270" s="108"/>
      <c r="F270" s="113"/>
      <c r="G270" s="215"/>
      <c r="H270" s="215"/>
      <c r="I270" s="219"/>
      <c r="J270" s="118"/>
    </row>
    <row r="271" spans="1:10" ht="20.25" customHeight="1">
      <c r="A271" s="117"/>
      <c r="B271" s="113" t="s">
        <v>179</v>
      </c>
      <c r="C271" s="215">
        <v>-1100000</v>
      </c>
      <c r="D271" s="216"/>
      <c r="E271" s="108" t="s">
        <v>191</v>
      </c>
      <c r="F271" s="113"/>
      <c r="G271" s="215">
        <v>9900000</v>
      </c>
      <c r="H271" s="215"/>
      <c r="I271" s="219"/>
      <c r="J271" s="118" t="s">
        <v>181</v>
      </c>
    </row>
    <row r="272" spans="1:10" ht="20.25" customHeight="1">
      <c r="A272" s="117"/>
      <c r="B272" s="113"/>
      <c r="C272" s="215"/>
      <c r="D272" s="216"/>
      <c r="E272" s="108"/>
      <c r="F272" s="201" t="s">
        <v>182</v>
      </c>
      <c r="G272" s="217" t="s">
        <v>192</v>
      </c>
      <c r="H272" s="217"/>
      <c r="I272" s="218"/>
      <c r="J272" s="118"/>
    </row>
    <row r="273" spans="1:10" ht="20.25" customHeight="1">
      <c r="A273" s="117" t="s">
        <v>194</v>
      </c>
      <c r="B273" s="113" t="s">
        <v>178</v>
      </c>
      <c r="C273" s="215">
        <v>11000000</v>
      </c>
      <c r="D273" s="216"/>
      <c r="E273" s="108"/>
      <c r="F273" s="113"/>
      <c r="G273" s="215"/>
      <c r="H273" s="215"/>
      <c r="I273" s="219"/>
      <c r="J273" s="118"/>
    </row>
    <row r="274" spans="1:10" ht="20.25" customHeight="1">
      <c r="A274" s="117"/>
      <c r="B274" s="113" t="s">
        <v>179</v>
      </c>
      <c r="C274" s="215">
        <v>-1100000</v>
      </c>
      <c r="D274" s="216"/>
      <c r="E274" s="108" t="s">
        <v>195</v>
      </c>
      <c r="F274" s="113"/>
      <c r="G274" s="215">
        <v>9900000</v>
      </c>
      <c r="H274" s="215"/>
      <c r="I274" s="219"/>
      <c r="J274" s="118" t="s">
        <v>181</v>
      </c>
    </row>
    <row r="275" spans="1:10" ht="20.25" customHeight="1">
      <c r="A275" s="117"/>
      <c r="B275" s="113"/>
      <c r="C275" s="215"/>
      <c r="D275" s="216"/>
      <c r="E275" s="108"/>
      <c r="F275" s="201" t="s">
        <v>182</v>
      </c>
      <c r="G275" s="217" t="s">
        <v>196</v>
      </c>
      <c r="H275" s="217"/>
      <c r="I275" s="218"/>
      <c r="J275" s="118"/>
    </row>
    <row r="276" spans="1:10" ht="20.25" customHeight="1">
      <c r="A276" s="117" t="s">
        <v>197</v>
      </c>
      <c r="B276" s="113" t="s">
        <v>178</v>
      </c>
      <c r="C276" s="215">
        <v>16500000</v>
      </c>
      <c r="D276" s="216"/>
      <c r="E276" s="108"/>
      <c r="F276" s="113"/>
      <c r="G276" s="215"/>
      <c r="H276" s="215"/>
      <c r="I276" s="219"/>
      <c r="J276" s="118"/>
    </row>
    <row r="277" spans="1:10" ht="20.25" customHeight="1">
      <c r="A277" s="117"/>
      <c r="B277" s="113" t="s">
        <v>179</v>
      </c>
      <c r="C277" s="215">
        <v>-1650000</v>
      </c>
      <c r="D277" s="216"/>
      <c r="E277" s="108" t="s">
        <v>198</v>
      </c>
      <c r="F277" s="113" t="s">
        <v>230</v>
      </c>
      <c r="G277" s="215">
        <v>14850000</v>
      </c>
      <c r="H277" s="215"/>
      <c r="I277" s="219"/>
      <c r="J277" s="118" t="s">
        <v>233</v>
      </c>
    </row>
    <row r="278" spans="1:10" ht="20.25" customHeight="1">
      <c r="A278" s="117"/>
      <c r="B278" s="113"/>
      <c r="C278" s="215"/>
      <c r="D278" s="216"/>
      <c r="E278" s="108"/>
      <c r="F278" s="134" t="s">
        <v>231</v>
      </c>
      <c r="G278" s="217" t="s">
        <v>232</v>
      </c>
      <c r="H278" s="217"/>
      <c r="I278" s="218"/>
      <c r="J278" s="118"/>
    </row>
    <row r="279" spans="1:10" ht="20.25" customHeight="1">
      <c r="A279" s="117" t="s">
        <v>199</v>
      </c>
      <c r="B279" s="113" t="s">
        <v>178</v>
      </c>
      <c r="C279" s="215">
        <v>5720000</v>
      </c>
      <c r="D279" s="216"/>
      <c r="E279" s="200"/>
      <c r="F279" s="113"/>
      <c r="G279" s="215"/>
      <c r="H279" s="215"/>
      <c r="I279" s="219"/>
      <c r="J279" s="118"/>
    </row>
    <row r="280" spans="1:10" ht="20.25" customHeight="1">
      <c r="A280" s="117"/>
      <c r="B280" s="113" t="s">
        <v>310</v>
      </c>
      <c r="C280" s="215">
        <v>-572000</v>
      </c>
      <c r="D280" s="216"/>
      <c r="E280" s="200" t="s">
        <v>308</v>
      </c>
      <c r="F280" s="113" t="s">
        <v>2</v>
      </c>
      <c r="G280" s="215">
        <v>5148000</v>
      </c>
      <c r="H280" s="215"/>
      <c r="I280" s="219"/>
      <c r="J280" s="118" t="s">
        <v>233</v>
      </c>
    </row>
    <row r="281" spans="1:10" ht="20.25" customHeight="1">
      <c r="A281" s="117"/>
      <c r="B281" s="113"/>
      <c r="C281" s="215"/>
      <c r="D281" s="216"/>
      <c r="E281" s="108"/>
      <c r="F281" s="134" t="s">
        <v>231</v>
      </c>
      <c r="G281" s="217" t="s">
        <v>311</v>
      </c>
      <c r="H281" s="217"/>
      <c r="I281" s="218"/>
      <c r="J281" s="118"/>
    </row>
    <row r="282" spans="1:10" ht="20.25" customHeight="1">
      <c r="A282" s="199" t="s">
        <v>307</v>
      </c>
      <c r="B282" s="113" t="s">
        <v>2</v>
      </c>
      <c r="C282" s="215">
        <v>27500000</v>
      </c>
      <c r="D282" s="216"/>
      <c r="E282" s="200"/>
      <c r="F282" s="113"/>
      <c r="G282" s="215"/>
      <c r="H282" s="215"/>
      <c r="I282" s="219"/>
      <c r="J282" s="118"/>
    </row>
    <row r="283" spans="1:10" ht="20.25" customHeight="1">
      <c r="A283" s="117"/>
      <c r="B283" s="113" t="s">
        <v>310</v>
      </c>
      <c r="C283" s="215">
        <v>-2750000</v>
      </c>
      <c r="D283" s="216"/>
      <c r="E283" s="200" t="s">
        <v>326</v>
      </c>
      <c r="F283" s="113" t="s">
        <v>2</v>
      </c>
      <c r="G283" s="215">
        <v>24750000</v>
      </c>
      <c r="H283" s="215"/>
      <c r="I283" s="219"/>
      <c r="J283" s="118" t="s">
        <v>233</v>
      </c>
    </row>
    <row r="284" spans="1:10" ht="20.25" customHeight="1">
      <c r="A284" s="117"/>
      <c r="B284" s="113"/>
      <c r="C284" s="215"/>
      <c r="D284" s="216"/>
      <c r="E284" s="108"/>
      <c r="F284" s="134" t="s">
        <v>231</v>
      </c>
      <c r="G284" s="217" t="s">
        <v>232</v>
      </c>
      <c r="H284" s="217"/>
      <c r="I284" s="218"/>
      <c r="J284" s="118"/>
    </row>
    <row r="285" spans="1:10" ht="20.25" customHeight="1">
      <c r="A285" s="199" t="s">
        <v>318</v>
      </c>
      <c r="B285" s="113" t="s">
        <v>2</v>
      </c>
      <c r="C285" s="215">
        <v>16500000</v>
      </c>
      <c r="D285" s="216"/>
      <c r="E285" s="200"/>
      <c r="F285" s="113"/>
      <c r="G285" s="215"/>
      <c r="H285" s="215"/>
      <c r="I285" s="219"/>
      <c r="J285" s="118"/>
    </row>
    <row r="286" spans="1:10" ht="20.25" customHeight="1">
      <c r="A286" s="117"/>
      <c r="B286" s="113" t="s">
        <v>310</v>
      </c>
      <c r="C286" s="215">
        <v>-1650000</v>
      </c>
      <c r="D286" s="216"/>
      <c r="E286" s="200" t="s">
        <v>332</v>
      </c>
      <c r="F286" s="113" t="s">
        <v>2</v>
      </c>
      <c r="G286" s="215">
        <v>14850000</v>
      </c>
      <c r="H286" s="215"/>
      <c r="I286" s="219"/>
      <c r="J286" s="118" t="s">
        <v>233</v>
      </c>
    </row>
    <row r="287" spans="1:10" ht="20.25" customHeight="1">
      <c r="A287" s="199" t="s">
        <v>335</v>
      </c>
      <c r="B287" s="113" t="s">
        <v>336</v>
      </c>
      <c r="C287" s="215">
        <v>4730000</v>
      </c>
      <c r="D287" s="216"/>
      <c r="E287" s="108"/>
      <c r="F287" s="113"/>
      <c r="G287" s="215"/>
      <c r="H287" s="215"/>
      <c r="I287" s="219"/>
      <c r="J287" s="118"/>
    </row>
    <row r="288" spans="1:10" ht="20.25" customHeight="1">
      <c r="A288" s="117"/>
      <c r="B288" s="113" t="s">
        <v>338</v>
      </c>
      <c r="C288" s="215"/>
      <c r="D288" s="216"/>
      <c r="E288" s="200" t="s">
        <v>337</v>
      </c>
      <c r="F288" s="113"/>
      <c r="G288" s="215"/>
      <c r="H288" s="215"/>
      <c r="I288" s="219"/>
      <c r="J288" s="118"/>
    </row>
    <row r="289" spans="1:10" ht="20.25" customHeight="1">
      <c r="A289" s="117"/>
      <c r="B289" s="113"/>
      <c r="C289" s="215"/>
      <c r="D289" s="216"/>
      <c r="E289" s="108"/>
      <c r="F289" s="113"/>
      <c r="G289" s="215"/>
      <c r="H289" s="215"/>
      <c r="I289" s="219"/>
      <c r="J289" s="118"/>
    </row>
    <row r="290" spans="1:10" ht="20.25" customHeight="1">
      <c r="A290" s="117"/>
      <c r="B290" s="113"/>
      <c r="C290" s="215"/>
      <c r="D290" s="216"/>
      <c r="E290" s="108"/>
      <c r="F290" s="113"/>
      <c r="G290" s="215"/>
      <c r="H290" s="215"/>
      <c r="I290" s="219"/>
      <c r="J290" s="118"/>
    </row>
    <row r="291" spans="1:10" ht="20.25" customHeight="1">
      <c r="A291" s="117"/>
      <c r="B291" s="113"/>
      <c r="C291" s="215"/>
      <c r="D291" s="216"/>
      <c r="E291" s="108"/>
      <c r="F291" s="113"/>
      <c r="G291" s="215"/>
      <c r="H291" s="215"/>
      <c r="I291" s="219"/>
      <c r="J291" s="118"/>
    </row>
    <row r="292" spans="1:10" ht="20.25" customHeight="1">
      <c r="A292" s="117"/>
      <c r="B292" s="113"/>
      <c r="C292" s="215"/>
      <c r="D292" s="216"/>
      <c r="E292" s="108"/>
      <c r="F292" s="113"/>
      <c r="G292" s="215"/>
      <c r="H292" s="215"/>
      <c r="I292" s="219"/>
      <c r="J292" s="118"/>
    </row>
    <row r="293" spans="1:10" ht="20.25" customHeight="1">
      <c r="A293" s="117"/>
      <c r="B293" s="113"/>
      <c r="C293" s="215"/>
      <c r="D293" s="216"/>
      <c r="E293" s="108"/>
      <c r="F293" s="113"/>
      <c r="G293" s="215"/>
      <c r="H293" s="215"/>
      <c r="I293" s="219"/>
      <c r="J293" s="118"/>
    </row>
    <row r="294" spans="1:10" ht="20.25" customHeight="1">
      <c r="A294" s="125" t="s">
        <v>11</v>
      </c>
      <c r="B294" s="126"/>
      <c r="C294" s="304">
        <f>SUM(C264:D293)</f>
        <v>108878000</v>
      </c>
      <c r="D294" s="305"/>
      <c r="E294" s="127" t="s">
        <v>11</v>
      </c>
      <c r="F294" s="126"/>
      <c r="G294" s="304">
        <f>SUM(G264:I293)</f>
        <v>104148000</v>
      </c>
      <c r="H294" s="304"/>
      <c r="I294" s="306"/>
      <c r="J294" s="128"/>
    </row>
    <row r="295" spans="1:10" ht="20.25" customHeight="1">
      <c r="A295" s="117"/>
      <c r="B295" s="113"/>
      <c r="C295" s="215"/>
      <c r="D295" s="216"/>
      <c r="E295" s="108"/>
      <c r="F295" s="113"/>
      <c r="G295" s="215"/>
      <c r="H295" s="215"/>
      <c r="I295" s="219"/>
      <c r="J295" s="118"/>
    </row>
    <row r="296" spans="1:10" ht="20.25" customHeight="1">
      <c r="A296" s="117"/>
      <c r="B296" s="113"/>
      <c r="C296" s="215"/>
      <c r="D296" s="216"/>
      <c r="E296" s="108"/>
      <c r="F296" s="113"/>
      <c r="G296" s="215"/>
      <c r="H296" s="215"/>
      <c r="I296" s="219"/>
      <c r="J296" s="118"/>
    </row>
    <row r="297" spans="1:10" ht="20.25" customHeight="1">
      <c r="A297" s="117"/>
      <c r="B297" s="121" t="s">
        <v>113</v>
      </c>
      <c r="C297" s="300">
        <f>SUM(E15)</f>
        <v>143803000</v>
      </c>
      <c r="D297" s="301"/>
      <c r="E297" s="108"/>
      <c r="F297" s="121" t="s">
        <v>236</v>
      </c>
      <c r="G297" s="302">
        <f>SUM(100-D260/C294*100)</f>
        <v>63.651306967431438</v>
      </c>
      <c r="H297" s="302"/>
      <c r="I297" s="303"/>
      <c r="J297" s="118" t="s">
        <v>237</v>
      </c>
    </row>
    <row r="298" spans="1:10" ht="20.25" customHeight="1">
      <c r="A298" s="117"/>
      <c r="B298" s="113"/>
      <c r="C298" s="215"/>
      <c r="D298" s="216"/>
      <c r="E298" s="108"/>
      <c r="F298" s="113"/>
      <c r="G298" s="215"/>
      <c r="H298" s="215"/>
      <c r="I298" s="219"/>
      <c r="J298" s="118"/>
    </row>
    <row r="299" spans="1:10" ht="20.25" customHeight="1">
      <c r="A299" s="99"/>
      <c r="B299" s="99"/>
    </row>
    <row r="300" spans="1:10" ht="20.25" customHeight="1">
      <c r="A300" s="99"/>
      <c r="B300" s="99"/>
    </row>
  </sheetData>
  <mergeCells count="1061">
    <mergeCell ref="A232:B232"/>
    <mergeCell ref="D232:E232"/>
    <mergeCell ref="G232:H232"/>
    <mergeCell ref="I232:J232"/>
    <mergeCell ref="A233:B233"/>
    <mergeCell ref="D233:E233"/>
    <mergeCell ref="G233:H233"/>
    <mergeCell ref="I233:J233"/>
    <mergeCell ref="A234:B234"/>
    <mergeCell ref="D234:E234"/>
    <mergeCell ref="G234:H234"/>
    <mergeCell ref="I234:J234"/>
    <mergeCell ref="A230:B230"/>
    <mergeCell ref="D230:E230"/>
    <mergeCell ref="G230:H230"/>
    <mergeCell ref="I230:J230"/>
    <mergeCell ref="A231:B231"/>
    <mergeCell ref="D231:E231"/>
    <mergeCell ref="G231:H231"/>
    <mergeCell ref="I231:J231"/>
    <mergeCell ref="A227:B227"/>
    <mergeCell ref="D227:E227"/>
    <mergeCell ref="G227:H227"/>
    <mergeCell ref="I227:J227"/>
    <mergeCell ref="A228:B228"/>
    <mergeCell ref="D228:E228"/>
    <mergeCell ref="G228:H228"/>
    <mergeCell ref="I228:J228"/>
    <mergeCell ref="A229:B229"/>
    <mergeCell ref="D229:E229"/>
    <mergeCell ref="G229:H229"/>
    <mergeCell ref="I229:J229"/>
    <mergeCell ref="A214:B214"/>
    <mergeCell ref="D214:E214"/>
    <mergeCell ref="G214:H214"/>
    <mergeCell ref="I214:J214"/>
    <mergeCell ref="A215:B215"/>
    <mergeCell ref="D215:E215"/>
    <mergeCell ref="G215:H215"/>
    <mergeCell ref="I215:J215"/>
    <mergeCell ref="A216:B216"/>
    <mergeCell ref="D216:E216"/>
    <mergeCell ref="G216:H216"/>
    <mergeCell ref="I216:J216"/>
    <mergeCell ref="A217:B217"/>
    <mergeCell ref="D217:E217"/>
    <mergeCell ref="G217:H217"/>
    <mergeCell ref="I217:J217"/>
    <mergeCell ref="A223:B223"/>
    <mergeCell ref="D223:E223"/>
    <mergeCell ref="G223:H223"/>
    <mergeCell ref="I223:J223"/>
    <mergeCell ref="A200:B200"/>
    <mergeCell ref="D200:E200"/>
    <mergeCell ref="G200:H200"/>
    <mergeCell ref="I200:J200"/>
    <mergeCell ref="A205:B205"/>
    <mergeCell ref="D205:E205"/>
    <mergeCell ref="G205:H205"/>
    <mergeCell ref="I205:J205"/>
    <mergeCell ref="A206:B206"/>
    <mergeCell ref="D206:E206"/>
    <mergeCell ref="G206:H206"/>
    <mergeCell ref="I206:J206"/>
    <mergeCell ref="A207:B207"/>
    <mergeCell ref="D207:E207"/>
    <mergeCell ref="G207:H207"/>
    <mergeCell ref="I207:J207"/>
    <mergeCell ref="A212:B212"/>
    <mergeCell ref="D212:E212"/>
    <mergeCell ref="G212:H212"/>
    <mergeCell ref="I212:J212"/>
    <mergeCell ref="A196:B196"/>
    <mergeCell ref="D196:E196"/>
    <mergeCell ref="G196:H196"/>
    <mergeCell ref="I196:J196"/>
    <mergeCell ref="A197:B197"/>
    <mergeCell ref="D197:E197"/>
    <mergeCell ref="G197:H197"/>
    <mergeCell ref="I197:J197"/>
    <mergeCell ref="A210:B210"/>
    <mergeCell ref="D210:E210"/>
    <mergeCell ref="G210:H210"/>
    <mergeCell ref="I210:J210"/>
    <mergeCell ref="A211:B211"/>
    <mergeCell ref="D211:E211"/>
    <mergeCell ref="G211:H211"/>
    <mergeCell ref="I211:J211"/>
    <mergeCell ref="A208:B208"/>
    <mergeCell ref="D208:E208"/>
    <mergeCell ref="G208:H208"/>
    <mergeCell ref="I208:J208"/>
    <mergeCell ref="A209:B209"/>
    <mergeCell ref="D209:E209"/>
    <mergeCell ref="G209:H209"/>
    <mergeCell ref="I209:J209"/>
    <mergeCell ref="A198:B198"/>
    <mergeCell ref="D198:E198"/>
    <mergeCell ref="G198:H198"/>
    <mergeCell ref="I198:J198"/>
    <mergeCell ref="A199:B199"/>
    <mergeCell ref="D199:E199"/>
    <mergeCell ref="G199:H199"/>
    <mergeCell ref="I199:J199"/>
    <mergeCell ref="A191:B191"/>
    <mergeCell ref="D191:E191"/>
    <mergeCell ref="G191:H191"/>
    <mergeCell ref="I191:J191"/>
    <mergeCell ref="A192:B192"/>
    <mergeCell ref="D192:E192"/>
    <mergeCell ref="G192:H192"/>
    <mergeCell ref="I192:J192"/>
    <mergeCell ref="A193:B193"/>
    <mergeCell ref="D193:E193"/>
    <mergeCell ref="G193:H193"/>
    <mergeCell ref="I193:J193"/>
    <mergeCell ref="A194:B194"/>
    <mergeCell ref="D194:E194"/>
    <mergeCell ref="G194:H194"/>
    <mergeCell ref="I194:J194"/>
    <mergeCell ref="A195:B195"/>
    <mergeCell ref="D195:E195"/>
    <mergeCell ref="G195:H195"/>
    <mergeCell ref="I195:J195"/>
    <mergeCell ref="A188:B188"/>
    <mergeCell ref="D188:E188"/>
    <mergeCell ref="G188:H188"/>
    <mergeCell ref="I188:J188"/>
    <mergeCell ref="A185:B185"/>
    <mergeCell ref="D185:E185"/>
    <mergeCell ref="G185:H185"/>
    <mergeCell ref="I185:J185"/>
    <mergeCell ref="A186:B186"/>
    <mergeCell ref="D186:E186"/>
    <mergeCell ref="G186:H186"/>
    <mergeCell ref="I186:J186"/>
    <mergeCell ref="A189:B189"/>
    <mergeCell ref="D189:E189"/>
    <mergeCell ref="G189:H189"/>
    <mergeCell ref="I189:J189"/>
    <mergeCell ref="A190:B190"/>
    <mergeCell ref="D190:E190"/>
    <mergeCell ref="G190:H190"/>
    <mergeCell ref="I190:J190"/>
    <mergeCell ref="A187:B187"/>
    <mergeCell ref="D187:E187"/>
    <mergeCell ref="G187:H187"/>
    <mergeCell ref="I187:J187"/>
    <mergeCell ref="A174:B174"/>
    <mergeCell ref="D174:E174"/>
    <mergeCell ref="G174:H174"/>
    <mergeCell ref="I174:J174"/>
    <mergeCell ref="A175:B175"/>
    <mergeCell ref="D175:E175"/>
    <mergeCell ref="G175:H175"/>
    <mergeCell ref="I175:J175"/>
    <mergeCell ref="A176:B176"/>
    <mergeCell ref="D176:E176"/>
    <mergeCell ref="G176:H176"/>
    <mergeCell ref="I176:J176"/>
    <mergeCell ref="A178:B178"/>
    <mergeCell ref="D178:E178"/>
    <mergeCell ref="G178:H178"/>
    <mergeCell ref="I178:J178"/>
    <mergeCell ref="A177:B177"/>
    <mergeCell ref="D177:E177"/>
    <mergeCell ref="G177:H177"/>
    <mergeCell ref="I177:J177"/>
    <mergeCell ref="A169:B169"/>
    <mergeCell ref="D169:E169"/>
    <mergeCell ref="G169:H169"/>
    <mergeCell ref="I169:J169"/>
    <mergeCell ref="A170:B170"/>
    <mergeCell ref="D170:E170"/>
    <mergeCell ref="G170:H170"/>
    <mergeCell ref="I170:J170"/>
    <mergeCell ref="A171:B171"/>
    <mergeCell ref="D171:E171"/>
    <mergeCell ref="G171:H171"/>
    <mergeCell ref="I171:J171"/>
    <mergeCell ref="A172:B172"/>
    <mergeCell ref="D172:E172"/>
    <mergeCell ref="G172:H172"/>
    <mergeCell ref="I172:J172"/>
    <mergeCell ref="A173:B173"/>
    <mergeCell ref="D173:E173"/>
    <mergeCell ref="G173:H173"/>
    <mergeCell ref="I173:J173"/>
    <mergeCell ref="A166:B166"/>
    <mergeCell ref="D166:E166"/>
    <mergeCell ref="G166:H166"/>
    <mergeCell ref="I166:J166"/>
    <mergeCell ref="A167:B167"/>
    <mergeCell ref="D167:E167"/>
    <mergeCell ref="G167:H167"/>
    <mergeCell ref="I167:J167"/>
    <mergeCell ref="A168:B168"/>
    <mergeCell ref="D168:E168"/>
    <mergeCell ref="G168:H168"/>
    <mergeCell ref="I168:J168"/>
    <mergeCell ref="A157:B157"/>
    <mergeCell ref="D157:E157"/>
    <mergeCell ref="G157:H157"/>
    <mergeCell ref="I157:J157"/>
    <mergeCell ref="A158:B158"/>
    <mergeCell ref="D158:E158"/>
    <mergeCell ref="G158:H158"/>
    <mergeCell ref="I158:J158"/>
    <mergeCell ref="A159:B159"/>
    <mergeCell ref="D159:E159"/>
    <mergeCell ref="G159:H159"/>
    <mergeCell ref="I159:J159"/>
    <mergeCell ref="A163:B163"/>
    <mergeCell ref="D163:E163"/>
    <mergeCell ref="G163:H163"/>
    <mergeCell ref="I163:J163"/>
    <mergeCell ref="A160:B160"/>
    <mergeCell ref="D160:E160"/>
    <mergeCell ref="G160:H160"/>
    <mergeCell ref="I160:J160"/>
    <mergeCell ref="A154:B154"/>
    <mergeCell ref="D154:E154"/>
    <mergeCell ref="G154:H154"/>
    <mergeCell ref="I154:J154"/>
    <mergeCell ref="A155:B155"/>
    <mergeCell ref="D155:E155"/>
    <mergeCell ref="G155:H155"/>
    <mergeCell ref="I155:J155"/>
    <mergeCell ref="A156:B156"/>
    <mergeCell ref="D156:E156"/>
    <mergeCell ref="G156:H156"/>
    <mergeCell ref="I156:J156"/>
    <mergeCell ref="A164:B164"/>
    <mergeCell ref="D164:E164"/>
    <mergeCell ref="G164:H164"/>
    <mergeCell ref="I164:J164"/>
    <mergeCell ref="A165:B165"/>
    <mergeCell ref="D165:E165"/>
    <mergeCell ref="G165:H165"/>
    <mergeCell ref="I165:J165"/>
    <mergeCell ref="A161:B161"/>
    <mergeCell ref="D161:E161"/>
    <mergeCell ref="G161:H161"/>
    <mergeCell ref="I161:J161"/>
    <mergeCell ref="A162:B162"/>
    <mergeCell ref="D162:E162"/>
    <mergeCell ref="G162:H162"/>
    <mergeCell ref="I162:J162"/>
    <mergeCell ref="A146:B146"/>
    <mergeCell ref="D146:E146"/>
    <mergeCell ref="G146:H146"/>
    <mergeCell ref="I146:J146"/>
    <mergeCell ref="A147:B147"/>
    <mergeCell ref="D147:E147"/>
    <mergeCell ref="G147:H147"/>
    <mergeCell ref="I147:J147"/>
    <mergeCell ref="A148:B148"/>
    <mergeCell ref="D148:E148"/>
    <mergeCell ref="G148:H148"/>
    <mergeCell ref="I148:J148"/>
    <mergeCell ref="A136:B136"/>
    <mergeCell ref="D136:E136"/>
    <mergeCell ref="G136:H136"/>
    <mergeCell ref="I136:J136"/>
    <mergeCell ref="A137:B137"/>
    <mergeCell ref="D137:E137"/>
    <mergeCell ref="G137:H137"/>
    <mergeCell ref="I137:J137"/>
    <mergeCell ref="A138:B138"/>
    <mergeCell ref="D138:E138"/>
    <mergeCell ref="G138:H138"/>
    <mergeCell ref="I138:J138"/>
    <mergeCell ref="A143:B143"/>
    <mergeCell ref="D143:E143"/>
    <mergeCell ref="G143:H143"/>
    <mergeCell ref="I143:J143"/>
    <mergeCell ref="A144:B144"/>
    <mergeCell ref="D144:E144"/>
    <mergeCell ref="G144:H144"/>
    <mergeCell ref="I144:J144"/>
    <mergeCell ref="G149:H149"/>
    <mergeCell ref="I149:J149"/>
    <mergeCell ref="A150:B150"/>
    <mergeCell ref="D150:E150"/>
    <mergeCell ref="G150:H150"/>
    <mergeCell ref="I150:J150"/>
    <mergeCell ref="A151:B151"/>
    <mergeCell ref="D151:E151"/>
    <mergeCell ref="G151:H151"/>
    <mergeCell ref="I151:J151"/>
    <mergeCell ref="A152:B152"/>
    <mergeCell ref="D152:E152"/>
    <mergeCell ref="G152:H152"/>
    <mergeCell ref="I152:J152"/>
    <mergeCell ref="A153:B153"/>
    <mergeCell ref="D153:E153"/>
    <mergeCell ref="G153:H153"/>
    <mergeCell ref="I153:J153"/>
    <mergeCell ref="C279:D279"/>
    <mergeCell ref="G279:I279"/>
    <mergeCell ref="C280:D280"/>
    <mergeCell ref="G280:I280"/>
    <mergeCell ref="C274:D274"/>
    <mergeCell ref="G274:I274"/>
    <mergeCell ref="C275:D275"/>
    <mergeCell ref="G275:I275"/>
    <mergeCell ref="C276:D276"/>
    <mergeCell ref="G276:I276"/>
    <mergeCell ref="C277:D277"/>
    <mergeCell ref="G277:I277"/>
    <mergeCell ref="C278:D278"/>
    <mergeCell ref="G278:I278"/>
    <mergeCell ref="C268:D268"/>
    <mergeCell ref="G268:I268"/>
    <mergeCell ref="C270:D270"/>
    <mergeCell ref="G270:I270"/>
    <mergeCell ref="C271:D271"/>
    <mergeCell ref="G271:I271"/>
    <mergeCell ref="C272:D272"/>
    <mergeCell ref="G272:I272"/>
    <mergeCell ref="C273:D273"/>
    <mergeCell ref="G273:I273"/>
    <mergeCell ref="C298:D298"/>
    <mergeCell ref="G298:I298"/>
    <mergeCell ref="C295:D295"/>
    <mergeCell ref="G295:I295"/>
    <mergeCell ref="C296:D296"/>
    <mergeCell ref="G296:I296"/>
    <mergeCell ref="C297:D297"/>
    <mergeCell ref="G297:I297"/>
    <mergeCell ref="C292:D292"/>
    <mergeCell ref="G292:I292"/>
    <mergeCell ref="C293:D293"/>
    <mergeCell ref="G293:I293"/>
    <mergeCell ref="C294:D294"/>
    <mergeCell ref="G294:I294"/>
    <mergeCell ref="A93:B93"/>
    <mergeCell ref="D93:E93"/>
    <mergeCell ref="G93:H93"/>
    <mergeCell ref="I93:J93"/>
    <mergeCell ref="C269:D269"/>
    <mergeCell ref="G269:I269"/>
    <mergeCell ref="C264:D264"/>
    <mergeCell ref="G264:I264"/>
    <mergeCell ref="C265:D265"/>
    <mergeCell ref="G265:I265"/>
    <mergeCell ref="A261:B261"/>
    <mergeCell ref="D261:E261"/>
    <mergeCell ref="G261:H261"/>
    <mergeCell ref="I261:J261"/>
    <mergeCell ref="C263:D263"/>
    <mergeCell ref="G263:I263"/>
    <mergeCell ref="A98:B98"/>
    <mergeCell ref="D98:E98"/>
    <mergeCell ref="A52:B52"/>
    <mergeCell ref="D52:E52"/>
    <mergeCell ref="G52:H52"/>
    <mergeCell ref="I52:J52"/>
    <mergeCell ref="A53:B53"/>
    <mergeCell ref="D53:E53"/>
    <mergeCell ref="G53:H53"/>
    <mergeCell ref="I53:J53"/>
    <mergeCell ref="A57:B57"/>
    <mergeCell ref="D57:E57"/>
    <mergeCell ref="G57:H57"/>
    <mergeCell ref="I57:J57"/>
    <mergeCell ref="A60:B60"/>
    <mergeCell ref="D60:E60"/>
    <mergeCell ref="G60:H60"/>
    <mergeCell ref="I60:J60"/>
    <mergeCell ref="A62:B62"/>
    <mergeCell ref="D62:E62"/>
    <mergeCell ref="A55:B55"/>
    <mergeCell ref="D55:E55"/>
    <mergeCell ref="G55:H55"/>
    <mergeCell ref="I55:J55"/>
    <mergeCell ref="A56:B56"/>
    <mergeCell ref="D56:E56"/>
    <mergeCell ref="G56:H56"/>
    <mergeCell ref="I56:J56"/>
    <mergeCell ref="G98:H98"/>
    <mergeCell ref="I98:J98"/>
    <mergeCell ref="A99:B99"/>
    <mergeCell ref="D99:E99"/>
    <mergeCell ref="G99:H99"/>
    <mergeCell ref="I99:J99"/>
    <mergeCell ref="A149:B149"/>
    <mergeCell ref="D149:E149"/>
    <mergeCell ref="A59:B59"/>
    <mergeCell ref="D59:E59"/>
    <mergeCell ref="G59:H59"/>
    <mergeCell ref="I59:J59"/>
    <mergeCell ref="A72:B72"/>
    <mergeCell ref="D72:E72"/>
    <mergeCell ref="G68:H68"/>
    <mergeCell ref="I68:J68"/>
    <mergeCell ref="G62:H62"/>
    <mergeCell ref="I62:J62"/>
    <mergeCell ref="A71:B71"/>
    <mergeCell ref="D71:E71"/>
    <mergeCell ref="G71:H71"/>
    <mergeCell ref="I71:J71"/>
    <mergeCell ref="A65:B65"/>
    <mergeCell ref="D65:E65"/>
    <mergeCell ref="G65:H65"/>
    <mergeCell ref="I65:J65"/>
    <mergeCell ref="A68:B68"/>
    <mergeCell ref="D68:E68"/>
    <mergeCell ref="A69:B69"/>
    <mergeCell ref="D69:E69"/>
    <mergeCell ref="G69:H69"/>
    <mergeCell ref="I69:J69"/>
    <mergeCell ref="A70:B70"/>
    <mergeCell ref="D70:E70"/>
    <mergeCell ref="G70:H70"/>
    <mergeCell ref="I70:J70"/>
    <mergeCell ref="A260:B260"/>
    <mergeCell ref="D260:E260"/>
    <mergeCell ref="G260:H260"/>
    <mergeCell ref="I260:J260"/>
    <mergeCell ref="A43:B43"/>
    <mergeCell ref="D43:E43"/>
    <mergeCell ref="G43:H43"/>
    <mergeCell ref="I43:J43"/>
    <mergeCell ref="A61:B61"/>
    <mergeCell ref="D61:E61"/>
    <mergeCell ref="G61:H61"/>
    <mergeCell ref="I61:J61"/>
    <mergeCell ref="A44:B44"/>
    <mergeCell ref="D44:E44"/>
    <mergeCell ref="G44:H44"/>
    <mergeCell ref="I44:J44"/>
    <mergeCell ref="A58:B58"/>
    <mergeCell ref="D58:E58"/>
    <mergeCell ref="G58:H58"/>
    <mergeCell ref="I58:J58"/>
    <mergeCell ref="A74:B74"/>
    <mergeCell ref="D74:E74"/>
    <mergeCell ref="G74:H74"/>
    <mergeCell ref="I74:J74"/>
    <mergeCell ref="A66:B66"/>
    <mergeCell ref="D66:E66"/>
    <mergeCell ref="G66:H66"/>
    <mergeCell ref="I66:J66"/>
    <mergeCell ref="A67:B67"/>
    <mergeCell ref="D67:E67"/>
    <mergeCell ref="G67:H67"/>
    <mergeCell ref="I67:J67"/>
    <mergeCell ref="I33:J33"/>
    <mergeCell ref="A34:B34"/>
    <mergeCell ref="D34:E34"/>
    <mergeCell ref="G34:H34"/>
    <mergeCell ref="A40:B40"/>
    <mergeCell ref="D40:E40"/>
    <mergeCell ref="G40:H40"/>
    <mergeCell ref="I40:J40"/>
    <mergeCell ref="A38:B38"/>
    <mergeCell ref="D38:E38"/>
    <mergeCell ref="G38:H38"/>
    <mergeCell ref="I38:J38"/>
    <mergeCell ref="A39:B39"/>
    <mergeCell ref="D39:E39"/>
    <mergeCell ref="G39:H39"/>
    <mergeCell ref="I39:J39"/>
    <mergeCell ref="A41:B41"/>
    <mergeCell ref="D41:E41"/>
    <mergeCell ref="G41:H41"/>
    <mergeCell ref="I41:J41"/>
    <mergeCell ref="A45:B45"/>
    <mergeCell ref="D45:E45"/>
    <mergeCell ref="G45:H45"/>
    <mergeCell ref="I45:J45"/>
    <mergeCell ref="A46:B46"/>
    <mergeCell ref="D46:E46"/>
    <mergeCell ref="G46:H46"/>
    <mergeCell ref="I46:J46"/>
    <mergeCell ref="A26:B26"/>
    <mergeCell ref="C26:G26"/>
    <mergeCell ref="E27:F27"/>
    <mergeCell ref="G27:J27"/>
    <mergeCell ref="E28:F28"/>
    <mergeCell ref="G28:J28"/>
    <mergeCell ref="E23:F23"/>
    <mergeCell ref="G23:J23"/>
    <mergeCell ref="A24:B24"/>
    <mergeCell ref="C24:J24"/>
    <mergeCell ref="A25:B25"/>
    <mergeCell ref="C25:D25"/>
    <mergeCell ref="A32:B32"/>
    <mergeCell ref="D32:E32"/>
    <mergeCell ref="G32:H32"/>
    <mergeCell ref="I32:J32"/>
    <mergeCell ref="A37:B37"/>
    <mergeCell ref="D37:E37"/>
    <mergeCell ref="G37:H37"/>
    <mergeCell ref="I37:J37"/>
    <mergeCell ref="A29:B29"/>
    <mergeCell ref="A30:B30"/>
    <mergeCell ref="D30:E30"/>
    <mergeCell ref="G30:H30"/>
    <mergeCell ref="I30:J30"/>
    <mergeCell ref="A31:B31"/>
    <mergeCell ref="D31:E31"/>
    <mergeCell ref="G31:H31"/>
    <mergeCell ref="I31:J31"/>
    <mergeCell ref="A33:B33"/>
    <mergeCell ref="D33:E33"/>
    <mergeCell ref="G33:H33"/>
    <mergeCell ref="G9:J9"/>
    <mergeCell ref="C14:D14"/>
    <mergeCell ref="E14:F14"/>
    <mergeCell ref="G14:J14"/>
    <mergeCell ref="C15:D15"/>
    <mergeCell ref="E15:F15"/>
    <mergeCell ref="G15:J15"/>
    <mergeCell ref="C12:D12"/>
    <mergeCell ref="E12:F12"/>
    <mergeCell ref="G12:J12"/>
    <mergeCell ref="C13:D13"/>
    <mergeCell ref="E13:F13"/>
    <mergeCell ref="G13:J13"/>
    <mergeCell ref="A21:D21"/>
    <mergeCell ref="E21:F21"/>
    <mergeCell ref="G21:J21"/>
    <mergeCell ref="B22:C22"/>
    <mergeCell ref="E22:F22"/>
    <mergeCell ref="G22:J22"/>
    <mergeCell ref="A17:D17"/>
    <mergeCell ref="E17:F17"/>
    <mergeCell ref="G17:J17"/>
    <mergeCell ref="E18:F18"/>
    <mergeCell ref="G18:J18"/>
    <mergeCell ref="E19:F19"/>
    <mergeCell ref="G19:J19"/>
    <mergeCell ref="A75:B75"/>
    <mergeCell ref="D75:E75"/>
    <mergeCell ref="G75:H75"/>
    <mergeCell ref="I75:J75"/>
    <mergeCell ref="G72:H72"/>
    <mergeCell ref="I72:J72"/>
    <mergeCell ref="A73:B73"/>
    <mergeCell ref="D73:E73"/>
    <mergeCell ref="G73:H73"/>
    <mergeCell ref="I73:J73"/>
    <mergeCell ref="A1:F2"/>
    <mergeCell ref="B3:E3"/>
    <mergeCell ref="F3:G3"/>
    <mergeCell ref="H3:J3"/>
    <mergeCell ref="A4:B4"/>
    <mergeCell ref="C4:E4"/>
    <mergeCell ref="F4:G4"/>
    <mergeCell ref="I4:J4"/>
    <mergeCell ref="C10:D10"/>
    <mergeCell ref="E10:F10"/>
    <mergeCell ref="G10:J10"/>
    <mergeCell ref="H1:J1"/>
    <mergeCell ref="H2:J2"/>
    <mergeCell ref="C11:D11"/>
    <mergeCell ref="E11:F11"/>
    <mergeCell ref="G11:J11"/>
    <mergeCell ref="B5:J5"/>
    <mergeCell ref="B6:J6"/>
    <mergeCell ref="C7:D7"/>
    <mergeCell ref="G7:I7"/>
    <mergeCell ref="C9:D9"/>
    <mergeCell ref="E9:F9"/>
    <mergeCell ref="A79:B79"/>
    <mergeCell ref="D79:E79"/>
    <mergeCell ref="G79:H79"/>
    <mergeCell ref="I79:J79"/>
    <mergeCell ref="A80:B80"/>
    <mergeCell ref="D80:E80"/>
    <mergeCell ref="G80:H80"/>
    <mergeCell ref="I80:J80"/>
    <mergeCell ref="A81:B81"/>
    <mergeCell ref="D81:E81"/>
    <mergeCell ref="G81:H81"/>
    <mergeCell ref="I81:J81"/>
    <mergeCell ref="A82:B82"/>
    <mergeCell ref="D82:E82"/>
    <mergeCell ref="G82:H82"/>
    <mergeCell ref="I82:J82"/>
    <mergeCell ref="A76:B76"/>
    <mergeCell ref="D76:E76"/>
    <mergeCell ref="G76:H76"/>
    <mergeCell ref="I76:J76"/>
    <mergeCell ref="A77:B77"/>
    <mergeCell ref="D77:E77"/>
    <mergeCell ref="G77:H77"/>
    <mergeCell ref="I77:J77"/>
    <mergeCell ref="A78:B78"/>
    <mergeCell ref="D78:E78"/>
    <mergeCell ref="G78:H78"/>
    <mergeCell ref="I78:J78"/>
    <mergeCell ref="A47:B47"/>
    <mergeCell ref="D47:E47"/>
    <mergeCell ref="G47:H47"/>
    <mergeCell ref="I47:J47"/>
    <mergeCell ref="I34:J34"/>
    <mergeCell ref="A35:B35"/>
    <mergeCell ref="D35:E35"/>
    <mergeCell ref="G35:H35"/>
    <mergeCell ref="I35:J35"/>
    <mergeCell ref="A36:B36"/>
    <mergeCell ref="D36:E36"/>
    <mergeCell ref="G36:H36"/>
    <mergeCell ref="I36:J36"/>
    <mergeCell ref="A42:B42"/>
    <mergeCell ref="D42:E42"/>
    <mergeCell ref="G42:H42"/>
    <mergeCell ref="I42:J42"/>
    <mergeCell ref="A48:B48"/>
    <mergeCell ref="D48:E48"/>
    <mergeCell ref="G48:H48"/>
    <mergeCell ref="I48:J48"/>
    <mergeCell ref="A49:B49"/>
    <mergeCell ref="D49:E49"/>
    <mergeCell ref="G49:H49"/>
    <mergeCell ref="I49:J49"/>
    <mergeCell ref="A50:B50"/>
    <mergeCell ref="D50:E50"/>
    <mergeCell ref="G50:H50"/>
    <mergeCell ref="I50:J50"/>
    <mergeCell ref="A95:B95"/>
    <mergeCell ref="D95:E95"/>
    <mergeCell ref="G95:H95"/>
    <mergeCell ref="I95:J95"/>
    <mergeCell ref="A83:B83"/>
    <mergeCell ref="D83:E83"/>
    <mergeCell ref="G83:H83"/>
    <mergeCell ref="I83:J83"/>
    <mergeCell ref="A84:B84"/>
    <mergeCell ref="D84:E84"/>
    <mergeCell ref="G84:H84"/>
    <mergeCell ref="I84:J84"/>
    <mergeCell ref="A85:B85"/>
    <mergeCell ref="D85:E85"/>
    <mergeCell ref="G85:H85"/>
    <mergeCell ref="I85:J85"/>
    <mergeCell ref="A51:B51"/>
    <mergeCell ref="D51:E51"/>
    <mergeCell ref="G51:H51"/>
    <mergeCell ref="I51:J51"/>
    <mergeCell ref="A63:B63"/>
    <mergeCell ref="D63:E63"/>
    <mergeCell ref="G63:H63"/>
    <mergeCell ref="I63:J63"/>
    <mergeCell ref="A64:B64"/>
    <mergeCell ref="D64:E64"/>
    <mergeCell ref="G64:H64"/>
    <mergeCell ref="I64:J64"/>
    <mergeCell ref="A54:B54"/>
    <mergeCell ref="D54:E54"/>
    <mergeCell ref="G54:H54"/>
    <mergeCell ref="I54:J54"/>
    <mergeCell ref="A100:B100"/>
    <mergeCell ref="D100:E100"/>
    <mergeCell ref="G100:H100"/>
    <mergeCell ref="I100:J100"/>
    <mergeCell ref="A101:B101"/>
    <mergeCell ref="D101:E101"/>
    <mergeCell ref="G101:H101"/>
    <mergeCell ref="I101:J101"/>
    <mergeCell ref="A89:B89"/>
    <mergeCell ref="D89:E89"/>
    <mergeCell ref="G89:H89"/>
    <mergeCell ref="I89:J89"/>
    <mergeCell ref="A90:B90"/>
    <mergeCell ref="D90:E90"/>
    <mergeCell ref="G90:H90"/>
    <mergeCell ref="I90:J90"/>
    <mergeCell ref="A91:B91"/>
    <mergeCell ref="D91:E91"/>
    <mergeCell ref="G91:H91"/>
    <mergeCell ref="I91:J91"/>
    <mergeCell ref="A102:B102"/>
    <mergeCell ref="D102:E102"/>
    <mergeCell ref="G102:H102"/>
    <mergeCell ref="I102:J102"/>
    <mergeCell ref="A86:B86"/>
    <mergeCell ref="D86:E86"/>
    <mergeCell ref="G86:H86"/>
    <mergeCell ref="I86:J86"/>
    <mergeCell ref="A97:B97"/>
    <mergeCell ref="D97:E97"/>
    <mergeCell ref="G97:H97"/>
    <mergeCell ref="I97:J97"/>
    <mergeCell ref="A92:B92"/>
    <mergeCell ref="D92:E92"/>
    <mergeCell ref="G92:H92"/>
    <mergeCell ref="I92:J92"/>
    <mergeCell ref="A96:B96"/>
    <mergeCell ref="D96:E96"/>
    <mergeCell ref="G96:H96"/>
    <mergeCell ref="I96:J96"/>
    <mergeCell ref="A94:B94"/>
    <mergeCell ref="D94:E94"/>
    <mergeCell ref="G94:H94"/>
    <mergeCell ref="I94:J94"/>
    <mergeCell ref="A87:B87"/>
    <mergeCell ref="D87:E87"/>
    <mergeCell ref="G87:H87"/>
    <mergeCell ref="I87:J87"/>
    <mergeCell ref="A88:B88"/>
    <mergeCell ref="D88:E88"/>
    <mergeCell ref="G88:H88"/>
    <mergeCell ref="I88:J88"/>
    <mergeCell ref="A114:B114"/>
    <mergeCell ref="D114:E114"/>
    <mergeCell ref="G114:H114"/>
    <mergeCell ref="I114:J114"/>
    <mergeCell ref="A115:B115"/>
    <mergeCell ref="D115:E115"/>
    <mergeCell ref="G115:H115"/>
    <mergeCell ref="I115:J115"/>
    <mergeCell ref="A103:B103"/>
    <mergeCell ref="D103:E103"/>
    <mergeCell ref="G103:H103"/>
    <mergeCell ref="I103:J103"/>
    <mergeCell ref="A108:B108"/>
    <mergeCell ref="D108:E108"/>
    <mergeCell ref="G108:H108"/>
    <mergeCell ref="I108:J108"/>
    <mergeCell ref="A104:B104"/>
    <mergeCell ref="D104:E104"/>
    <mergeCell ref="G104:H104"/>
    <mergeCell ref="I104:J104"/>
    <mergeCell ref="A105:B105"/>
    <mergeCell ref="D105:E105"/>
    <mergeCell ref="G105:H105"/>
    <mergeCell ref="I105:J105"/>
    <mergeCell ref="A106:B106"/>
    <mergeCell ref="D106:E106"/>
    <mergeCell ref="G106:H106"/>
    <mergeCell ref="I106:J106"/>
    <mergeCell ref="A107:B107"/>
    <mergeCell ref="D107:E107"/>
    <mergeCell ref="G107:H107"/>
    <mergeCell ref="I107:J107"/>
    <mergeCell ref="I109:J109"/>
    <mergeCell ref="G109:H109"/>
    <mergeCell ref="D109:E109"/>
    <mergeCell ref="A109:B109"/>
    <mergeCell ref="A111:B111"/>
    <mergeCell ref="D111:E111"/>
    <mergeCell ref="G111:H111"/>
    <mergeCell ref="I111:J111"/>
    <mergeCell ref="A112:B112"/>
    <mergeCell ref="D112:E112"/>
    <mergeCell ref="G112:H112"/>
    <mergeCell ref="I112:J112"/>
    <mergeCell ref="I110:J110"/>
    <mergeCell ref="G110:H110"/>
    <mergeCell ref="D110:E110"/>
    <mergeCell ref="A110:B110"/>
    <mergeCell ref="A113:B113"/>
    <mergeCell ref="D113:E113"/>
    <mergeCell ref="G113:H113"/>
    <mergeCell ref="I113:J113"/>
    <mergeCell ref="A119:B119"/>
    <mergeCell ref="D119:E119"/>
    <mergeCell ref="G119:H119"/>
    <mergeCell ref="I119:J119"/>
    <mergeCell ref="A120:B120"/>
    <mergeCell ref="D120:E120"/>
    <mergeCell ref="G120:H120"/>
    <mergeCell ref="I120:J120"/>
    <mergeCell ref="A121:B121"/>
    <mergeCell ref="D121:E121"/>
    <mergeCell ref="G121:H121"/>
    <mergeCell ref="I121:J121"/>
    <mergeCell ref="A116:B116"/>
    <mergeCell ref="D116:E116"/>
    <mergeCell ref="G116:H116"/>
    <mergeCell ref="I116:J116"/>
    <mergeCell ref="A117:B117"/>
    <mergeCell ref="D117:E117"/>
    <mergeCell ref="G117:H117"/>
    <mergeCell ref="I117:J117"/>
    <mergeCell ref="A118:B118"/>
    <mergeCell ref="D118:E118"/>
    <mergeCell ref="G118:H118"/>
    <mergeCell ref="I118:J118"/>
    <mergeCell ref="A125:B125"/>
    <mergeCell ref="D125:E125"/>
    <mergeCell ref="G125:H125"/>
    <mergeCell ref="I125:J125"/>
    <mergeCell ref="A126:B126"/>
    <mergeCell ref="D126:E126"/>
    <mergeCell ref="G126:H126"/>
    <mergeCell ref="I126:J126"/>
    <mergeCell ref="A127:B127"/>
    <mergeCell ref="D127:E127"/>
    <mergeCell ref="G127:H127"/>
    <mergeCell ref="I127:J127"/>
    <mergeCell ref="A122:B122"/>
    <mergeCell ref="D122:E122"/>
    <mergeCell ref="G122:H122"/>
    <mergeCell ref="I122:J122"/>
    <mergeCell ref="A123:B123"/>
    <mergeCell ref="D123:E123"/>
    <mergeCell ref="G123:H123"/>
    <mergeCell ref="I123:J123"/>
    <mergeCell ref="A124:B124"/>
    <mergeCell ref="D124:E124"/>
    <mergeCell ref="G124:H124"/>
    <mergeCell ref="I124:J124"/>
    <mergeCell ref="A133:B133"/>
    <mergeCell ref="D133:E133"/>
    <mergeCell ref="G133:H133"/>
    <mergeCell ref="I133:J133"/>
    <mergeCell ref="A134:B134"/>
    <mergeCell ref="D134:E134"/>
    <mergeCell ref="G134:H134"/>
    <mergeCell ref="I134:J134"/>
    <mergeCell ref="A135:B135"/>
    <mergeCell ref="D135:E135"/>
    <mergeCell ref="G135:H135"/>
    <mergeCell ref="I135:J135"/>
    <mergeCell ref="A128:B128"/>
    <mergeCell ref="D128:E128"/>
    <mergeCell ref="G128:H128"/>
    <mergeCell ref="I128:J128"/>
    <mergeCell ref="A131:B131"/>
    <mergeCell ref="D131:E131"/>
    <mergeCell ref="G131:H131"/>
    <mergeCell ref="I131:J131"/>
    <mergeCell ref="A129:B129"/>
    <mergeCell ref="D129:E129"/>
    <mergeCell ref="G129:H129"/>
    <mergeCell ref="I129:J129"/>
    <mergeCell ref="A130:B130"/>
    <mergeCell ref="D130:E130"/>
    <mergeCell ref="G130:H130"/>
    <mergeCell ref="I130:J130"/>
    <mergeCell ref="A132:B132"/>
    <mergeCell ref="D132:E132"/>
    <mergeCell ref="G132:H132"/>
    <mergeCell ref="I132:J132"/>
    <mergeCell ref="A139:B139"/>
    <mergeCell ref="D139:E139"/>
    <mergeCell ref="G139:H139"/>
    <mergeCell ref="I139:J139"/>
    <mergeCell ref="A140:B140"/>
    <mergeCell ref="D140:E140"/>
    <mergeCell ref="G140:H140"/>
    <mergeCell ref="I140:J140"/>
    <mergeCell ref="A142:B142"/>
    <mergeCell ref="D142:E142"/>
    <mergeCell ref="G142:H142"/>
    <mergeCell ref="I142:J142"/>
    <mergeCell ref="A141:B141"/>
    <mergeCell ref="D141:E141"/>
    <mergeCell ref="G141:H141"/>
    <mergeCell ref="I141:J141"/>
    <mergeCell ref="A145:B145"/>
    <mergeCell ref="D145:E145"/>
    <mergeCell ref="G145:H145"/>
    <mergeCell ref="I145:J145"/>
    <mergeCell ref="A182:B182"/>
    <mergeCell ref="D182:E182"/>
    <mergeCell ref="G182:H182"/>
    <mergeCell ref="I182:J182"/>
    <mergeCell ref="A183:B183"/>
    <mergeCell ref="D183:E183"/>
    <mergeCell ref="G183:H183"/>
    <mergeCell ref="I183:J183"/>
    <mergeCell ref="A184:B184"/>
    <mergeCell ref="D184:E184"/>
    <mergeCell ref="G184:H184"/>
    <mergeCell ref="I184:J184"/>
    <mergeCell ref="C266:D266"/>
    <mergeCell ref="G266:I266"/>
    <mergeCell ref="C267:D267"/>
    <mergeCell ref="G267:I267"/>
    <mergeCell ref="A179:B179"/>
    <mergeCell ref="D179:E179"/>
    <mergeCell ref="G179:H179"/>
    <mergeCell ref="I179:J179"/>
    <mergeCell ref="A180:B180"/>
    <mergeCell ref="D180:E180"/>
    <mergeCell ref="G180:H180"/>
    <mergeCell ref="I180:J180"/>
    <mergeCell ref="A181:B181"/>
    <mergeCell ref="D181:E181"/>
    <mergeCell ref="G181:H181"/>
    <mergeCell ref="I181:J181"/>
    <mergeCell ref="A259:B259"/>
    <mergeCell ref="D259:E259"/>
    <mergeCell ref="G259:H259"/>
    <mergeCell ref="I259:J259"/>
    <mergeCell ref="C281:D281"/>
    <mergeCell ref="G281:I281"/>
    <mergeCell ref="C283:D283"/>
    <mergeCell ref="G283:I283"/>
    <mergeCell ref="C284:D284"/>
    <mergeCell ref="G284:I284"/>
    <mergeCell ref="C289:D289"/>
    <mergeCell ref="G289:I289"/>
    <mergeCell ref="C291:D291"/>
    <mergeCell ref="G291:I291"/>
    <mergeCell ref="C282:D282"/>
    <mergeCell ref="G282:I282"/>
    <mergeCell ref="C285:D285"/>
    <mergeCell ref="G285:I285"/>
    <mergeCell ref="C286:D286"/>
    <mergeCell ref="G286:I286"/>
    <mergeCell ref="C287:D287"/>
    <mergeCell ref="G287:I287"/>
    <mergeCell ref="C288:D288"/>
    <mergeCell ref="G288:I288"/>
    <mergeCell ref="C290:D290"/>
    <mergeCell ref="G290:I290"/>
    <mergeCell ref="A218:B218"/>
    <mergeCell ref="D218:E218"/>
    <mergeCell ref="G218:H218"/>
    <mergeCell ref="I218:J218"/>
    <mergeCell ref="A219:B219"/>
    <mergeCell ref="D219:E219"/>
    <mergeCell ref="G219:H219"/>
    <mergeCell ref="I219:J219"/>
    <mergeCell ref="A220:B220"/>
    <mergeCell ref="D220:E220"/>
    <mergeCell ref="G220:H220"/>
    <mergeCell ref="I220:J220"/>
    <mergeCell ref="A204:B204"/>
    <mergeCell ref="D204:E204"/>
    <mergeCell ref="G204:H204"/>
    <mergeCell ref="I204:J204"/>
    <mergeCell ref="A201:B201"/>
    <mergeCell ref="D201:E201"/>
    <mergeCell ref="G201:H201"/>
    <mergeCell ref="I201:J201"/>
    <mergeCell ref="A202:B202"/>
    <mergeCell ref="D202:E202"/>
    <mergeCell ref="G202:H202"/>
    <mergeCell ref="I202:J202"/>
    <mergeCell ref="A203:B203"/>
    <mergeCell ref="D203:E203"/>
    <mergeCell ref="G203:H203"/>
    <mergeCell ref="I203:J203"/>
    <mergeCell ref="A213:B213"/>
    <mergeCell ref="D213:E213"/>
    <mergeCell ref="G213:H213"/>
    <mergeCell ref="I213:J213"/>
    <mergeCell ref="A235:B235"/>
    <mergeCell ref="D235:E235"/>
    <mergeCell ref="G235:H235"/>
    <mergeCell ref="I235:J235"/>
    <mergeCell ref="A236:B236"/>
    <mergeCell ref="D236:E236"/>
    <mergeCell ref="G236:H236"/>
    <mergeCell ref="I236:J236"/>
    <mergeCell ref="A237:B237"/>
    <mergeCell ref="D237:E237"/>
    <mergeCell ref="G237:H237"/>
    <mergeCell ref="I237:J237"/>
    <mergeCell ref="A221:B221"/>
    <mergeCell ref="D221:E221"/>
    <mergeCell ref="G221:H221"/>
    <mergeCell ref="I221:J221"/>
    <mergeCell ref="A222:B222"/>
    <mergeCell ref="D222:E222"/>
    <mergeCell ref="G222:H222"/>
    <mergeCell ref="I222:J222"/>
    <mergeCell ref="A224:B224"/>
    <mergeCell ref="D224:E224"/>
    <mergeCell ref="G224:H224"/>
    <mergeCell ref="I224:J224"/>
    <mergeCell ref="A225:B225"/>
    <mergeCell ref="D225:E225"/>
    <mergeCell ref="G225:H225"/>
    <mergeCell ref="I225:J225"/>
    <mergeCell ref="A226:B226"/>
    <mergeCell ref="D226:E226"/>
    <mergeCell ref="G226:H226"/>
    <mergeCell ref="I226:J226"/>
    <mergeCell ref="A241:B241"/>
    <mergeCell ref="D241:E241"/>
    <mergeCell ref="G241:H241"/>
    <mergeCell ref="I241:J241"/>
    <mergeCell ref="A242:B242"/>
    <mergeCell ref="D242:E242"/>
    <mergeCell ref="G242:H242"/>
    <mergeCell ref="I242:J242"/>
    <mergeCell ref="A238:B238"/>
    <mergeCell ref="D238:E238"/>
    <mergeCell ref="G238:H238"/>
    <mergeCell ref="I238:J238"/>
    <mergeCell ref="A239:B239"/>
    <mergeCell ref="D239:E239"/>
    <mergeCell ref="G239:H239"/>
    <mergeCell ref="I239:J239"/>
    <mergeCell ref="A240:B240"/>
    <mergeCell ref="D240:E240"/>
    <mergeCell ref="G240:H240"/>
    <mergeCell ref="I240:J240"/>
    <mergeCell ref="A257:B257"/>
    <mergeCell ref="D257:E257"/>
    <mergeCell ref="G257:H257"/>
    <mergeCell ref="I257:J257"/>
    <mergeCell ref="A258:B258"/>
    <mergeCell ref="D258:E258"/>
    <mergeCell ref="G258:H258"/>
    <mergeCell ref="I258:J258"/>
    <mergeCell ref="A250:B250"/>
    <mergeCell ref="D250:E250"/>
    <mergeCell ref="G250:H250"/>
    <mergeCell ref="I250:J250"/>
    <mergeCell ref="A252:B252"/>
    <mergeCell ref="D252:E252"/>
    <mergeCell ref="G252:H252"/>
    <mergeCell ref="I252:J252"/>
    <mergeCell ref="A255:B255"/>
    <mergeCell ref="D255:E255"/>
    <mergeCell ref="G255:H255"/>
    <mergeCell ref="I255:J255"/>
    <mergeCell ref="A251:B251"/>
    <mergeCell ref="D251:E251"/>
    <mergeCell ref="G251:H251"/>
    <mergeCell ref="I251:J251"/>
    <mergeCell ref="A253:B253"/>
    <mergeCell ref="D253:E253"/>
    <mergeCell ref="G253:H253"/>
    <mergeCell ref="I253:J253"/>
    <mergeCell ref="A254:B254"/>
    <mergeCell ref="D254:E254"/>
    <mergeCell ref="G254:H254"/>
    <mergeCell ref="I254:J254"/>
    <mergeCell ref="A243:B243"/>
    <mergeCell ref="D243:E243"/>
    <mergeCell ref="G243:H243"/>
    <mergeCell ref="I243:J243"/>
    <mergeCell ref="A244:B244"/>
    <mergeCell ref="D244:E244"/>
    <mergeCell ref="G244:H244"/>
    <mergeCell ref="I244:J244"/>
    <mergeCell ref="A245:B245"/>
    <mergeCell ref="D245:E245"/>
    <mergeCell ref="G245:H245"/>
    <mergeCell ref="I245:J245"/>
    <mergeCell ref="A246:B246"/>
    <mergeCell ref="D246:E246"/>
    <mergeCell ref="G246:H246"/>
    <mergeCell ref="I246:J246"/>
    <mergeCell ref="A256:B256"/>
    <mergeCell ref="D256:E256"/>
    <mergeCell ref="G256:H256"/>
    <mergeCell ref="I256:J256"/>
    <mergeCell ref="A247:B247"/>
    <mergeCell ref="D247:E247"/>
    <mergeCell ref="G247:H247"/>
    <mergeCell ref="I247:J247"/>
    <mergeCell ref="A248:B248"/>
    <mergeCell ref="D248:E248"/>
    <mergeCell ref="G248:H248"/>
    <mergeCell ref="I248:J248"/>
    <mergeCell ref="A249:B249"/>
    <mergeCell ref="D249:E249"/>
    <mergeCell ref="G249:H249"/>
    <mergeCell ref="I249:J249"/>
  </mergeCells>
  <phoneticPr fontId="2"/>
  <dataValidations count="6">
    <dataValidation type="list" errorStyle="warning" allowBlank="1" showInputMessage="1" showErrorMessage="1" prompt="リストから下請業者をお選びください。_x000a_リスト以外のお名前を入力する場合は、一番下の空白を選んでから入力してください。_x000a_ｴﾗｰﾒｯｾｰｼﾞが出ますが、”はい”にして進んでください。" sqref="F25" xr:uid="{00000000-0002-0000-0000-000000000000}">
      <formula1>"協同建設,石田工業,匠建業,神田建業,丸本建設,ネオテック,森下興業,村瀬組"</formula1>
    </dataValidation>
    <dataValidation type="list" errorStyle="warning" allowBlank="1" showInputMessage="1" showErrorMessage="1" prompt="リストからご自分のお名前をお選びください。_x000a_リスト以外のお名前を入力する場合は、一番下の空白を選んでから入力してください。_x000a_ｴﾗｰﾒｯｾｰｼﾞが出ますが、”はい”にして進んでください。" sqref="C4:E4" xr:uid="{00000000-0002-0000-0000-000001000000}">
      <formula1>"織田社長,織田専務,阿部,井上,薮田　　　　　　　　"</formula1>
    </dataValidation>
    <dataValidation type="list" errorStyle="warning" allowBlank="1" showInputMessage="1" showErrorMessage="1" prompt="リストから担当者のお名前をお選びください。_x000a_リスト以外のお名前を入力する場合は、一番下の空白を選んでから入力してください。_x000a_ｴﾗｰﾒｯｾｰｼﾞが出ますが、”はい”にして進んでください。" sqref="I4:J4" xr:uid="{00000000-0002-0000-0000-000002000000}">
      <formula1>"中川,堅田,金山,賢人,早,北島,桝井,新川,齋藤,越智,福知山,　　　　　　　"</formula1>
    </dataValidation>
    <dataValidation type="list" errorStyle="warning" allowBlank="1" showInputMessage="1" showErrorMessage="1" prompt="リストから形態をお選びください。_x000a_自社以外の場合は右のカッコ内に会社名を入れてください。" sqref="C25:D25" xr:uid="{00000000-0002-0000-0000-000003000000}">
      <formula1>"自社施工,常用,一式下請,その他"</formula1>
    </dataValidation>
    <dataValidation type="list" allowBlank="1" showInputMessage="1" showErrorMessage="1" sqref="H1:J1" xr:uid="{00000000-0002-0000-0000-000004000000}">
      <formula1>"石田,谷口,薮田,松岡"</formula1>
    </dataValidation>
    <dataValidation imeMode="off" allowBlank="1" showInputMessage="1" showErrorMessage="1" sqref="H2 G7:I7 C7:D7" xr:uid="{00000000-0002-0000-0000-000005000000}"/>
  </dataValidations>
  <pageMargins left="1.17" right="0.2" top="0.75" bottom="0.75" header="0.3" footer="0.3"/>
  <pageSetup paperSize="9" scale="97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AC339"/>
  <sheetViews>
    <sheetView view="pageBreakPreview" zoomScale="90" zoomScaleNormal="100" zoomScaleSheetLayoutView="90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 activeCell="B2" sqref="B2:C2"/>
    </sheetView>
  </sheetViews>
  <sheetFormatPr defaultRowHeight="13.5" outlineLevelCol="1"/>
  <cols>
    <col min="1" max="1" width="18.625" customWidth="1"/>
    <col min="2" max="9" width="8.625" customWidth="1"/>
    <col min="10" max="19" width="8.625" customWidth="1" outlineLevel="1"/>
    <col min="20" max="20" width="8.5" customWidth="1" outlineLevel="1"/>
    <col min="21" max="21" width="8.625" customWidth="1" outlineLevel="1"/>
    <col min="22" max="22" width="8.5" customWidth="1" outlineLevel="1"/>
    <col min="23" max="23" width="8.625" customWidth="1" outlineLevel="1"/>
    <col min="24" max="24" width="8.5" customWidth="1" outlineLevel="1"/>
    <col min="25" max="25" width="8.625" customWidth="1" outlineLevel="1"/>
    <col min="26" max="26" width="10.375" customWidth="1"/>
    <col min="27" max="27" width="9.375" customWidth="1"/>
  </cols>
  <sheetData>
    <row r="1" spans="1:29" ht="18" customHeight="1" thickBot="1">
      <c r="A1" t="s">
        <v>32</v>
      </c>
      <c r="D1" s="328" t="s">
        <v>60</v>
      </c>
      <c r="E1" s="329"/>
      <c r="F1" s="329"/>
      <c r="G1" s="330"/>
    </row>
    <row r="2" spans="1:29" ht="18" customHeight="1" thickBot="1">
      <c r="A2" s="49" t="s">
        <v>31</v>
      </c>
      <c r="B2" s="317" t="s">
        <v>125</v>
      </c>
      <c r="C2" s="318"/>
      <c r="D2" s="317" t="s">
        <v>114</v>
      </c>
      <c r="E2" s="318"/>
      <c r="F2" s="317" t="s">
        <v>115</v>
      </c>
      <c r="G2" s="318"/>
      <c r="H2" s="317" t="s">
        <v>116</v>
      </c>
      <c r="I2" s="318"/>
      <c r="J2" s="317" t="s">
        <v>117</v>
      </c>
      <c r="K2" s="318"/>
      <c r="L2" s="317" t="s">
        <v>118</v>
      </c>
      <c r="M2" s="318"/>
      <c r="N2" s="317" t="s">
        <v>119</v>
      </c>
      <c r="O2" s="318"/>
      <c r="P2" s="317" t="s">
        <v>120</v>
      </c>
      <c r="Q2" s="318"/>
      <c r="R2" s="317" t="s">
        <v>121</v>
      </c>
      <c r="S2" s="318"/>
      <c r="T2" s="317" t="s">
        <v>122</v>
      </c>
      <c r="U2" s="318"/>
      <c r="V2" s="317" t="s">
        <v>123</v>
      </c>
      <c r="W2" s="318"/>
      <c r="X2" s="317" t="s">
        <v>126</v>
      </c>
      <c r="Y2" s="318"/>
      <c r="Z2" s="37" t="s">
        <v>11</v>
      </c>
      <c r="AA2" s="42" t="s">
        <v>13</v>
      </c>
      <c r="AB2" s="331"/>
      <c r="AC2" s="332"/>
    </row>
    <row r="3" spans="1:29" ht="18" customHeight="1" thickBot="1">
      <c r="A3" s="27"/>
      <c r="B3" s="14" t="s">
        <v>2</v>
      </c>
      <c r="C3" s="15" t="s">
        <v>3</v>
      </c>
      <c r="D3" s="14" t="s">
        <v>2</v>
      </c>
      <c r="E3" s="15" t="s">
        <v>3</v>
      </c>
      <c r="F3" s="14" t="s">
        <v>2</v>
      </c>
      <c r="G3" s="4" t="s">
        <v>3</v>
      </c>
      <c r="H3" s="14" t="s">
        <v>2</v>
      </c>
      <c r="I3" s="15" t="s">
        <v>3</v>
      </c>
      <c r="J3" s="12" t="s">
        <v>2</v>
      </c>
      <c r="K3" s="4" t="s">
        <v>3</v>
      </c>
      <c r="L3" s="14" t="s">
        <v>2</v>
      </c>
      <c r="M3" s="15" t="s">
        <v>3</v>
      </c>
      <c r="N3" s="12" t="s">
        <v>2</v>
      </c>
      <c r="O3" s="4" t="s">
        <v>3</v>
      </c>
      <c r="P3" s="14" t="s">
        <v>2</v>
      </c>
      <c r="Q3" s="15" t="s">
        <v>3</v>
      </c>
      <c r="R3" s="12" t="s">
        <v>2</v>
      </c>
      <c r="S3" s="4" t="s">
        <v>3</v>
      </c>
      <c r="T3" s="14" t="s">
        <v>2</v>
      </c>
      <c r="U3" s="15" t="s">
        <v>3</v>
      </c>
      <c r="V3" s="14" t="s">
        <v>2</v>
      </c>
      <c r="W3" s="15" t="s">
        <v>3</v>
      </c>
      <c r="X3" s="14" t="s">
        <v>2</v>
      </c>
      <c r="Y3" s="15" t="s">
        <v>3</v>
      </c>
      <c r="Z3" s="38"/>
      <c r="AA3" s="44"/>
      <c r="AB3" s="2"/>
      <c r="AC3" s="3"/>
    </row>
    <row r="4" spans="1:29" ht="18" customHeight="1">
      <c r="A4" s="60" t="s">
        <v>4</v>
      </c>
      <c r="B4" s="64"/>
      <c r="C4" s="65"/>
      <c r="D4" s="64"/>
      <c r="E4" s="65"/>
      <c r="F4" s="64"/>
      <c r="G4" s="65"/>
      <c r="H4" s="64"/>
      <c r="I4" s="65"/>
      <c r="J4" s="64"/>
      <c r="K4" s="65"/>
      <c r="L4" s="64"/>
      <c r="M4" s="65"/>
      <c r="N4" s="64"/>
      <c r="O4" s="65"/>
      <c r="P4" s="64"/>
      <c r="Q4" s="65"/>
      <c r="R4" s="64"/>
      <c r="S4" s="65"/>
      <c r="T4" s="64"/>
      <c r="U4" s="64"/>
      <c r="V4" s="64"/>
      <c r="W4" s="64"/>
      <c r="X4" s="64"/>
      <c r="Y4" s="64"/>
      <c r="Z4" s="62">
        <f>SUM(B4:U4)</f>
        <v>0</v>
      </c>
      <c r="AA4" s="43"/>
      <c r="AB4" s="1"/>
      <c r="AC4" s="1"/>
    </row>
    <row r="5" spans="1:29" ht="18" customHeight="1" thickBot="1">
      <c r="A5" s="61" t="s">
        <v>3</v>
      </c>
      <c r="B5" s="66"/>
      <c r="C5" s="67"/>
      <c r="D5" s="66"/>
      <c r="E5" s="67"/>
      <c r="F5" s="66"/>
      <c r="G5" s="67"/>
      <c r="H5" s="66"/>
      <c r="I5" s="67"/>
      <c r="J5" s="66"/>
      <c r="K5" s="67"/>
      <c r="L5" s="66"/>
      <c r="M5" s="67"/>
      <c r="N5" s="66"/>
      <c r="O5" s="67"/>
      <c r="P5" s="66"/>
      <c r="Q5" s="67"/>
      <c r="R5" s="66"/>
      <c r="S5" s="67"/>
      <c r="T5" s="66"/>
      <c r="U5" s="66"/>
      <c r="V5" s="66"/>
      <c r="W5" s="66"/>
      <c r="X5" s="66"/>
      <c r="Y5" s="66"/>
      <c r="Z5" s="63">
        <f>SUM(B5:U5)</f>
        <v>0</v>
      </c>
      <c r="AA5" s="33">
        <f>SUM(Z4:Z5)</f>
        <v>0</v>
      </c>
      <c r="AB5" s="1"/>
      <c r="AC5" s="1"/>
    </row>
    <row r="6" spans="1:29" ht="18" customHeight="1">
      <c r="A6" s="36" t="s">
        <v>6</v>
      </c>
      <c r="B6" s="65"/>
      <c r="C6" s="64"/>
      <c r="D6" s="65"/>
      <c r="E6" s="64"/>
      <c r="F6" s="65"/>
      <c r="G6" s="64"/>
      <c r="H6" s="65"/>
      <c r="I6" s="64"/>
      <c r="J6" s="65"/>
      <c r="K6" s="64"/>
      <c r="L6" s="65"/>
      <c r="M6" s="64"/>
      <c r="N6" s="65"/>
      <c r="O6" s="64"/>
      <c r="P6" s="65"/>
      <c r="Q6" s="64"/>
      <c r="R6" s="65"/>
      <c r="S6" s="64"/>
      <c r="T6" s="65"/>
      <c r="U6" s="64"/>
      <c r="V6" s="65"/>
      <c r="W6" s="64"/>
      <c r="X6" s="65"/>
      <c r="Y6" s="64"/>
      <c r="Z6" s="1">
        <f>SUM(B6:Y6)</f>
        <v>0</v>
      </c>
      <c r="AA6" s="43">
        <f>SUM(B6:Y6)</f>
        <v>0</v>
      </c>
      <c r="AB6" s="1"/>
      <c r="AC6" s="1"/>
    </row>
    <row r="7" spans="1:29" ht="18" customHeight="1" thickBot="1">
      <c r="A7" s="35" t="s">
        <v>0</v>
      </c>
      <c r="B7" s="68"/>
      <c r="C7" s="69"/>
      <c r="D7" s="68"/>
      <c r="E7" s="69"/>
      <c r="F7" s="68"/>
      <c r="G7" s="69"/>
      <c r="H7" s="68"/>
      <c r="I7" s="69"/>
      <c r="J7" s="68"/>
      <c r="K7" s="69"/>
      <c r="L7" s="68"/>
      <c r="M7" s="69"/>
      <c r="N7" s="68"/>
      <c r="O7" s="69"/>
      <c r="P7" s="68"/>
      <c r="Q7" s="69"/>
      <c r="R7" s="68"/>
      <c r="S7" s="69"/>
      <c r="T7" s="68"/>
      <c r="U7" s="69"/>
      <c r="V7" s="68"/>
      <c r="W7" s="69"/>
      <c r="X7" s="68"/>
      <c r="Y7" s="69"/>
      <c r="Z7" s="90">
        <f>SUM(B7:Y7)</f>
        <v>0</v>
      </c>
      <c r="AA7" s="31"/>
      <c r="AB7" s="1"/>
      <c r="AC7" s="1"/>
    </row>
    <row r="8" spans="1:29" ht="18" customHeight="1" thickBot="1">
      <c r="A8" s="72" t="s">
        <v>12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1">
        <f>SUM(B8:Y8)</f>
        <v>0</v>
      </c>
      <c r="AA8" s="31"/>
      <c r="AB8" s="1"/>
      <c r="AC8" s="1"/>
    </row>
    <row r="9" spans="1:29" ht="18" customHeight="1" thickBot="1">
      <c r="A9" s="35" t="s">
        <v>1</v>
      </c>
      <c r="B9" s="70"/>
      <c r="C9" s="71"/>
      <c r="D9" s="70"/>
      <c r="E9" s="71"/>
      <c r="F9" s="70"/>
      <c r="G9" s="71"/>
      <c r="H9" s="70"/>
      <c r="I9" s="71"/>
      <c r="J9" s="70"/>
      <c r="K9" s="71"/>
      <c r="L9" s="70"/>
      <c r="M9" s="71"/>
      <c r="N9" s="70"/>
      <c r="O9" s="71"/>
      <c r="P9" s="70"/>
      <c r="Q9" s="71"/>
      <c r="R9" s="70"/>
      <c r="S9" s="71"/>
      <c r="T9" s="70"/>
      <c r="U9" s="71"/>
      <c r="V9" s="70"/>
      <c r="W9" s="71"/>
      <c r="X9" s="70"/>
      <c r="Y9" s="71"/>
      <c r="Z9" s="39">
        <f>SUM(B9:Y9)</f>
        <v>0</v>
      </c>
      <c r="AA9" s="31">
        <f>SUM(Z8:Z9)</f>
        <v>0</v>
      </c>
      <c r="AB9" s="1"/>
      <c r="AC9" s="1"/>
    </row>
    <row r="10" spans="1:29" ht="18" customHeight="1">
      <c r="A10" s="28" t="s">
        <v>8</v>
      </c>
      <c r="B10" s="16">
        <f>SUM(B8-B7+B9)</f>
        <v>0</v>
      </c>
      <c r="C10" s="10">
        <f>SUM(C8)</f>
        <v>0</v>
      </c>
      <c r="D10" s="16">
        <f t="shared" ref="D10:Y10" si="0">SUM(D8-D7+D9)</f>
        <v>0</v>
      </c>
      <c r="E10" s="10">
        <f t="shared" si="0"/>
        <v>0</v>
      </c>
      <c r="F10" s="16">
        <f t="shared" si="0"/>
        <v>0</v>
      </c>
      <c r="G10" s="24">
        <f t="shared" si="0"/>
        <v>0</v>
      </c>
      <c r="H10" s="16">
        <f t="shared" si="0"/>
        <v>0</v>
      </c>
      <c r="I10" s="10">
        <f t="shared" si="0"/>
        <v>0</v>
      </c>
      <c r="J10" s="7">
        <f t="shared" si="0"/>
        <v>0</v>
      </c>
      <c r="K10" s="24">
        <f t="shared" si="0"/>
        <v>0</v>
      </c>
      <c r="L10" s="16">
        <f t="shared" si="0"/>
        <v>0</v>
      </c>
      <c r="M10" s="10">
        <f t="shared" si="0"/>
        <v>0</v>
      </c>
      <c r="N10" s="7">
        <f t="shared" si="0"/>
        <v>0</v>
      </c>
      <c r="O10" s="24">
        <f t="shared" si="0"/>
        <v>0</v>
      </c>
      <c r="P10" s="16">
        <f t="shared" si="0"/>
        <v>0</v>
      </c>
      <c r="Q10" s="10">
        <f t="shared" si="0"/>
        <v>0</v>
      </c>
      <c r="R10" s="7">
        <f t="shared" si="0"/>
        <v>0</v>
      </c>
      <c r="S10" s="24">
        <f t="shared" si="0"/>
        <v>0</v>
      </c>
      <c r="T10" s="16">
        <f t="shared" si="0"/>
        <v>0</v>
      </c>
      <c r="U10" s="10">
        <f t="shared" si="0"/>
        <v>0</v>
      </c>
      <c r="V10" s="16">
        <f t="shared" si="0"/>
        <v>0</v>
      </c>
      <c r="W10" s="10">
        <f t="shared" si="0"/>
        <v>0</v>
      </c>
      <c r="X10" s="16">
        <f t="shared" si="0"/>
        <v>0</v>
      </c>
      <c r="Y10" s="10">
        <f t="shared" si="0"/>
        <v>0</v>
      </c>
      <c r="Z10" s="40"/>
      <c r="AA10" s="31"/>
      <c r="AB10" s="1"/>
      <c r="AC10" s="1"/>
    </row>
    <row r="11" spans="1:29" ht="18" customHeight="1">
      <c r="A11" s="28" t="s">
        <v>9</v>
      </c>
      <c r="B11" s="17">
        <f>SUM(B10)</f>
        <v>0</v>
      </c>
      <c r="C11" s="18">
        <f>SUM(C10)</f>
        <v>0</v>
      </c>
      <c r="D11" s="17">
        <f>SUM(B10+D10)</f>
        <v>0</v>
      </c>
      <c r="E11" s="18">
        <f>SUM(C10+E10)</f>
        <v>0</v>
      </c>
      <c r="F11" s="17">
        <f>SUM(D11+F10)</f>
        <v>0</v>
      </c>
      <c r="G11" s="22">
        <f>SUM(E11+G10)</f>
        <v>0</v>
      </c>
      <c r="H11" s="30">
        <f>SUM(F11+H10)</f>
        <v>0</v>
      </c>
      <c r="I11" s="18">
        <f t="shared" ref="I11:O11" si="1">SUM(G11+I10)</f>
        <v>0</v>
      </c>
      <c r="J11" s="30">
        <f t="shared" si="1"/>
        <v>0</v>
      </c>
      <c r="K11" s="18">
        <f t="shared" si="1"/>
        <v>0</v>
      </c>
      <c r="L11" s="17">
        <f t="shared" si="1"/>
        <v>0</v>
      </c>
      <c r="M11" s="8">
        <f t="shared" si="1"/>
        <v>0</v>
      </c>
      <c r="N11" s="30">
        <f t="shared" si="1"/>
        <v>0</v>
      </c>
      <c r="O11" s="18">
        <f t="shared" si="1"/>
        <v>0</v>
      </c>
      <c r="P11" s="30">
        <f t="shared" ref="P11:U11" si="2">SUM(N11+P10)</f>
        <v>0</v>
      </c>
      <c r="Q11" s="18">
        <f t="shared" si="2"/>
        <v>0</v>
      </c>
      <c r="R11" s="30">
        <f t="shared" si="2"/>
        <v>0</v>
      </c>
      <c r="S11" s="18">
        <f t="shared" si="2"/>
        <v>0</v>
      </c>
      <c r="T11" s="30">
        <f t="shared" si="2"/>
        <v>0</v>
      </c>
      <c r="U11" s="18">
        <f t="shared" si="2"/>
        <v>0</v>
      </c>
      <c r="V11" s="30">
        <f t="shared" ref="V11" si="3">SUM(T11+V10)</f>
        <v>0</v>
      </c>
      <c r="W11" s="18">
        <f t="shared" ref="W11" si="4">SUM(U11+W10)</f>
        <v>0</v>
      </c>
      <c r="X11" s="30">
        <f t="shared" ref="X11" si="5">SUM(V11+X10)</f>
        <v>0</v>
      </c>
      <c r="Y11" s="18">
        <f t="shared" ref="Y11" si="6">SUM(W11+Y10)</f>
        <v>0</v>
      </c>
      <c r="Z11" s="30">
        <f>SUM(AA9-Z7)</f>
        <v>0</v>
      </c>
      <c r="AA11" s="31"/>
      <c r="AB11" s="1"/>
      <c r="AC11" s="1"/>
    </row>
    <row r="12" spans="1:29" ht="18" customHeight="1" thickBot="1">
      <c r="A12" s="28" t="s">
        <v>10</v>
      </c>
      <c r="B12" s="19">
        <f>SUM(B6)</f>
        <v>0</v>
      </c>
      <c r="C12" s="20">
        <f>SUM(C6)</f>
        <v>0</v>
      </c>
      <c r="D12" s="17">
        <f>SUM(B6+D6)</f>
        <v>0</v>
      </c>
      <c r="E12" s="18">
        <f>SUM(C6+E6)</f>
        <v>0</v>
      </c>
      <c r="F12" s="17">
        <f>SUM(B6+D6+F6)</f>
        <v>0</v>
      </c>
      <c r="G12" s="22">
        <f>SUM(C6+E6+G6)</f>
        <v>0</v>
      </c>
      <c r="H12" s="17">
        <f>SUM(B6+D6+F6+H6)</f>
        <v>0</v>
      </c>
      <c r="I12" s="18">
        <f>SUM(C6+E6+G6+I6)</f>
        <v>0</v>
      </c>
      <c r="J12" s="8">
        <f>SUM(B6+D6+F6+H6+J6)</f>
        <v>0</v>
      </c>
      <c r="K12" s="22">
        <f>SUM(C6+E6+G6+I6+K6)</f>
        <v>0</v>
      </c>
      <c r="L12" s="17">
        <f>SUM(B6+D6+F6+H6+J6+L6)</f>
        <v>0</v>
      </c>
      <c r="M12" s="18">
        <f>SUM(C6+E6+G6+I6+K6+M6)</f>
        <v>0</v>
      </c>
      <c r="N12" s="8">
        <f>SUM(B6+D6+F6+H6+J6+L6+N6)</f>
        <v>0</v>
      </c>
      <c r="O12" s="22">
        <f>SUM(C6+E6+G6+I6+K6+M6+O6)</f>
        <v>0</v>
      </c>
      <c r="P12" s="17">
        <f>SUM(B6+D6+F6+H6+J6+L6+N6+P6)</f>
        <v>0</v>
      </c>
      <c r="Q12" s="18">
        <f>SUM(C6+E6+G6+I6+K6+M6+O6+Q6)</f>
        <v>0</v>
      </c>
      <c r="R12" s="8">
        <f>SUM(B6+D6+F6+H6+J6+L6+N6+P6+R6)</f>
        <v>0</v>
      </c>
      <c r="S12" s="22">
        <f>SUM(C6+E6+G6+I6+K6+M6+O6+Q6+S6)</f>
        <v>0</v>
      </c>
      <c r="T12" s="17">
        <f>SUM(B6+D6+F6+H6+J6+L6+N6+P6+R6+T6)</f>
        <v>0</v>
      </c>
      <c r="U12" s="18">
        <f>SUM(C6+E6+G6+I6+K6+M6+O6+Q6+S6+U6)</f>
        <v>0</v>
      </c>
      <c r="V12" s="17">
        <f>SUM(B6+D6+F6+H6+J6+L6+N6+P6+R6+T6+V6)</f>
        <v>0</v>
      </c>
      <c r="W12" s="18">
        <f>SUM(E6+G6+I6+K6+M6+O6+Q6+S6+U6+W6)</f>
        <v>0</v>
      </c>
      <c r="X12" s="17">
        <f>SUM(B6+D6+F6+H6+J6+L6+N6+P6+R6+T6+V6+X6)</f>
        <v>0</v>
      </c>
      <c r="Y12" s="18">
        <f>SUM(G6+I6+K6+M6+O6+Q6+S6+U6+W6+Y6)</f>
        <v>0</v>
      </c>
      <c r="Z12" s="30"/>
      <c r="AA12" s="34"/>
      <c r="AB12" s="1"/>
      <c r="AC12" s="1"/>
    </row>
    <row r="13" spans="1:29" ht="18" customHeight="1" thickBot="1">
      <c r="A13" s="28" t="s">
        <v>7</v>
      </c>
      <c r="B13" s="17">
        <f>SUM(B8)</f>
        <v>0</v>
      </c>
      <c r="C13" s="18">
        <f>SUM(C10+C7)</f>
        <v>0</v>
      </c>
      <c r="D13" s="17">
        <f t="shared" ref="D13:Y13" si="7">SUM(B13+D7+D10)</f>
        <v>0</v>
      </c>
      <c r="E13" s="18">
        <f t="shared" si="7"/>
        <v>0</v>
      </c>
      <c r="F13" s="22">
        <f t="shared" si="7"/>
        <v>0</v>
      </c>
      <c r="G13" s="22">
        <f t="shared" si="7"/>
        <v>0</v>
      </c>
      <c r="H13" s="17">
        <f t="shared" si="7"/>
        <v>0</v>
      </c>
      <c r="I13" s="18">
        <f t="shared" si="7"/>
        <v>0</v>
      </c>
      <c r="J13" s="22">
        <f>SUM(H13+J7+J10)</f>
        <v>0</v>
      </c>
      <c r="K13" s="18">
        <f t="shared" si="7"/>
        <v>0</v>
      </c>
      <c r="L13" s="17">
        <f t="shared" si="7"/>
        <v>0</v>
      </c>
      <c r="M13" s="18">
        <f t="shared" si="7"/>
        <v>0</v>
      </c>
      <c r="N13" s="8">
        <f t="shared" si="7"/>
        <v>0</v>
      </c>
      <c r="O13" s="22">
        <f t="shared" si="7"/>
        <v>0</v>
      </c>
      <c r="P13" s="17">
        <f t="shared" si="7"/>
        <v>0</v>
      </c>
      <c r="Q13" s="18">
        <f t="shared" si="7"/>
        <v>0</v>
      </c>
      <c r="R13" s="8">
        <f t="shared" si="7"/>
        <v>0</v>
      </c>
      <c r="S13" s="22">
        <f t="shared" si="7"/>
        <v>0</v>
      </c>
      <c r="T13" s="17">
        <f t="shared" si="7"/>
        <v>0</v>
      </c>
      <c r="U13" s="18">
        <f t="shared" si="7"/>
        <v>0</v>
      </c>
      <c r="V13" s="17">
        <f t="shared" si="7"/>
        <v>0</v>
      </c>
      <c r="W13" s="18">
        <f t="shared" si="7"/>
        <v>0</v>
      </c>
      <c r="X13" s="17">
        <f t="shared" si="7"/>
        <v>0</v>
      </c>
      <c r="Y13" s="18">
        <f t="shared" si="7"/>
        <v>0</v>
      </c>
      <c r="Z13" s="30"/>
      <c r="AA13" s="32" t="s">
        <v>14</v>
      </c>
      <c r="AB13" s="1"/>
      <c r="AC13" s="1"/>
    </row>
    <row r="14" spans="1:29" ht="18" customHeight="1" thickBot="1">
      <c r="A14" s="29" t="s">
        <v>5</v>
      </c>
      <c r="B14" s="21">
        <f>SUM(B13-B12)</f>
        <v>0</v>
      </c>
      <c r="C14" s="6">
        <f>SUM(C13-C12)</f>
        <v>0</v>
      </c>
      <c r="D14" s="21">
        <f t="shared" ref="D14:I14" si="8">SUM(D13-D12)</f>
        <v>0</v>
      </c>
      <c r="E14" s="6">
        <f t="shared" si="8"/>
        <v>0</v>
      </c>
      <c r="F14" s="23">
        <f t="shared" si="8"/>
        <v>0</v>
      </c>
      <c r="G14" s="23">
        <f t="shared" si="8"/>
        <v>0</v>
      </c>
      <c r="H14" s="26">
        <f t="shared" si="8"/>
        <v>0</v>
      </c>
      <c r="I14" s="6">
        <f t="shared" si="8"/>
        <v>0</v>
      </c>
      <c r="J14" s="25">
        <f t="shared" ref="J14:U14" si="9">SUM(J13-J12)</f>
        <v>0</v>
      </c>
      <c r="K14" s="23">
        <f t="shared" si="9"/>
        <v>0</v>
      </c>
      <c r="L14" s="26">
        <f t="shared" si="9"/>
        <v>0</v>
      </c>
      <c r="M14" s="6">
        <f t="shared" si="9"/>
        <v>0</v>
      </c>
      <c r="N14" s="21">
        <f t="shared" si="9"/>
        <v>0</v>
      </c>
      <c r="O14" s="25">
        <f t="shared" si="9"/>
        <v>0</v>
      </c>
      <c r="P14" s="26">
        <f t="shared" si="9"/>
        <v>0</v>
      </c>
      <c r="Q14" s="6">
        <f t="shared" si="9"/>
        <v>0</v>
      </c>
      <c r="R14" s="25">
        <f t="shared" si="9"/>
        <v>0</v>
      </c>
      <c r="S14" s="23">
        <f t="shared" si="9"/>
        <v>0</v>
      </c>
      <c r="T14" s="26">
        <f t="shared" si="9"/>
        <v>0</v>
      </c>
      <c r="U14" s="6">
        <f t="shared" si="9"/>
        <v>0</v>
      </c>
      <c r="V14" s="26">
        <f t="shared" ref="V14:W14" si="10">SUM(V13-V12)</f>
        <v>0</v>
      </c>
      <c r="W14" s="6">
        <f t="shared" si="10"/>
        <v>0</v>
      </c>
      <c r="X14" s="26">
        <f t="shared" ref="X14:Y14" si="11">SUM(X13-X12)</f>
        <v>0</v>
      </c>
      <c r="Y14" s="6">
        <f t="shared" si="11"/>
        <v>0</v>
      </c>
      <c r="Z14" s="41"/>
      <c r="AA14" s="91">
        <f>SUM(AA5-AA9)</f>
        <v>0</v>
      </c>
      <c r="AB14" s="1"/>
      <c r="AC14" s="1"/>
    </row>
    <row r="15" spans="1:29" ht="18" customHeight="1">
      <c r="B15" s="95" t="s">
        <v>46</v>
      </c>
      <c r="AA15" s="93" t="s">
        <v>45</v>
      </c>
      <c r="AC15" t="e">
        <f>SUM(AA17/AA9*100)</f>
        <v>#DIV/0!</v>
      </c>
    </row>
    <row r="16" spans="1:29" ht="18" customHeight="1" thickBot="1">
      <c r="A16" s="50" t="s">
        <v>33</v>
      </c>
      <c r="B16" s="96" t="s">
        <v>47</v>
      </c>
      <c r="AA16" s="94" t="e">
        <f>SUM(100-AC15)</f>
        <v>#DIV/0!</v>
      </c>
    </row>
    <row r="17" spans="1:27" ht="18" customHeight="1" thickBot="1">
      <c r="A17" s="55" t="s">
        <v>36</v>
      </c>
      <c r="B17" s="80">
        <f>SUM(B26+B34+B42+B50+B58+B66+B74+B82+B90+B98+B106+B114+B122+B130+B138+B146+B154+B162+B170+B178+B186+B194+B202+B210+B218+B226+B234+B242+B250+B258+B266+B274+B282+B290+B298+B306+B314+B322+B330+B338)</f>
        <v>0</v>
      </c>
      <c r="C17" s="5">
        <f t="shared" ref="C17:Y17" si="12">SUM(C26+C34+C42+C50+C58+C66+C74+C82+C90+C98+C106+C114+C122+C130+C138+C146+C154+C162+C170+C178+C186+C194+C202+C210+C218+C226+C234+C242+C250+C258+C266+C274+C282+C290+C298+C306+C314+C322+C330+C338)</f>
        <v>0</v>
      </c>
      <c r="D17" s="80">
        <f t="shared" si="12"/>
        <v>0</v>
      </c>
      <c r="E17" s="5">
        <f t="shared" si="12"/>
        <v>0</v>
      </c>
      <c r="F17" s="80">
        <f t="shared" si="12"/>
        <v>0</v>
      </c>
      <c r="G17" s="5">
        <f t="shared" si="12"/>
        <v>0</v>
      </c>
      <c r="H17" s="80">
        <f t="shared" si="12"/>
        <v>0</v>
      </c>
      <c r="I17" s="5">
        <f t="shared" si="12"/>
        <v>0</v>
      </c>
      <c r="J17" s="80">
        <f t="shared" si="12"/>
        <v>0</v>
      </c>
      <c r="K17" s="5">
        <f t="shared" si="12"/>
        <v>0</v>
      </c>
      <c r="L17" s="80">
        <f t="shared" si="12"/>
        <v>0</v>
      </c>
      <c r="M17" s="5">
        <f t="shared" si="12"/>
        <v>0</v>
      </c>
      <c r="N17" s="80">
        <f t="shared" si="12"/>
        <v>0</v>
      </c>
      <c r="O17" s="5">
        <f t="shared" si="12"/>
        <v>0</v>
      </c>
      <c r="P17" s="80">
        <f t="shared" si="12"/>
        <v>0</v>
      </c>
      <c r="Q17" s="5">
        <f t="shared" si="12"/>
        <v>0</v>
      </c>
      <c r="R17" s="80">
        <f t="shared" si="12"/>
        <v>0</v>
      </c>
      <c r="S17" s="5">
        <f t="shared" si="12"/>
        <v>0</v>
      </c>
      <c r="T17" s="80">
        <f t="shared" si="12"/>
        <v>0</v>
      </c>
      <c r="U17" s="5">
        <f t="shared" si="12"/>
        <v>0</v>
      </c>
      <c r="V17" s="80">
        <f t="shared" si="12"/>
        <v>0</v>
      </c>
      <c r="W17" s="5">
        <f t="shared" si="12"/>
        <v>0</v>
      </c>
      <c r="X17" s="80">
        <f t="shared" si="12"/>
        <v>0</v>
      </c>
      <c r="Y17" s="5">
        <f t="shared" si="12"/>
        <v>0</v>
      </c>
      <c r="Z17" s="82"/>
      <c r="AA17" s="92">
        <f>SUM(B18:Y18)</f>
        <v>0</v>
      </c>
    </row>
    <row r="18" spans="1:27" ht="18" customHeight="1" thickBot="1">
      <c r="A18" s="81" t="s">
        <v>40</v>
      </c>
      <c r="B18" s="321">
        <f>SUM(B17:C17)</f>
        <v>0</v>
      </c>
      <c r="C18" s="322"/>
      <c r="D18" s="321">
        <f t="shared" ref="D18" si="13">SUM(D17:E17)</f>
        <v>0</v>
      </c>
      <c r="E18" s="322"/>
      <c r="F18" s="321">
        <f t="shared" ref="F18" si="14">SUM(F17:G17)</f>
        <v>0</v>
      </c>
      <c r="G18" s="322"/>
      <c r="H18" s="321">
        <f t="shared" ref="H18" si="15">SUM(H17:I17)</f>
        <v>0</v>
      </c>
      <c r="I18" s="322"/>
      <c r="J18" s="321">
        <f t="shared" ref="J18" si="16">SUM(J17:K17)</f>
        <v>0</v>
      </c>
      <c r="K18" s="322"/>
      <c r="L18" s="321">
        <f t="shared" ref="L18" si="17">SUM(L17:M17)</f>
        <v>0</v>
      </c>
      <c r="M18" s="322"/>
      <c r="N18" s="321">
        <f t="shared" ref="N18" si="18">SUM(N17:O17)</f>
        <v>0</v>
      </c>
      <c r="O18" s="322"/>
      <c r="P18" s="321">
        <f t="shared" ref="P18" si="19">SUM(P17:Q17)</f>
        <v>0</v>
      </c>
      <c r="Q18" s="322"/>
      <c r="R18" s="321">
        <f t="shared" ref="R18" si="20">SUM(R17:S17)</f>
        <v>0</v>
      </c>
      <c r="S18" s="322"/>
      <c r="T18" s="321">
        <f t="shared" ref="T18" si="21">SUM(T17:U17)</f>
        <v>0</v>
      </c>
      <c r="U18" s="322"/>
      <c r="V18" s="321">
        <f t="shared" ref="V18" si="22">SUM(V17:W17)</f>
        <v>0</v>
      </c>
      <c r="W18" s="322"/>
      <c r="X18" s="321">
        <f t="shared" ref="X18" si="23">SUM(X17:Y17)</f>
        <v>0</v>
      </c>
      <c r="Y18" s="322"/>
      <c r="Z18" s="83"/>
      <c r="AA18" s="1"/>
    </row>
    <row r="19" spans="1:27" ht="18" customHeight="1" thickBot="1">
      <c r="A19" s="50"/>
    </row>
    <row r="20" spans="1:27" ht="18" customHeight="1" thickBot="1">
      <c r="A20" s="326" t="s">
        <v>85</v>
      </c>
      <c r="B20" s="317" t="s">
        <v>125</v>
      </c>
      <c r="C20" s="318"/>
      <c r="D20" s="317" t="s">
        <v>114</v>
      </c>
      <c r="E20" s="318"/>
      <c r="F20" s="317" t="s">
        <v>115</v>
      </c>
      <c r="G20" s="318"/>
      <c r="H20" s="317" t="s">
        <v>116</v>
      </c>
      <c r="I20" s="318"/>
      <c r="J20" s="317" t="s">
        <v>117</v>
      </c>
      <c r="K20" s="318"/>
      <c r="L20" s="317" t="s">
        <v>118</v>
      </c>
      <c r="M20" s="318"/>
      <c r="N20" s="317" t="s">
        <v>119</v>
      </c>
      <c r="O20" s="318"/>
      <c r="P20" s="317" t="s">
        <v>120</v>
      </c>
      <c r="Q20" s="318"/>
      <c r="R20" s="317" t="s">
        <v>121</v>
      </c>
      <c r="S20" s="318"/>
      <c r="T20" s="317" t="s">
        <v>122</v>
      </c>
      <c r="U20" s="318"/>
      <c r="V20" s="317" t="s">
        <v>123</v>
      </c>
      <c r="W20" s="318"/>
      <c r="X20" s="317" t="s">
        <v>126</v>
      </c>
      <c r="Y20" s="318"/>
      <c r="Z20" s="54" t="s">
        <v>11</v>
      </c>
      <c r="AA20" s="52" t="s">
        <v>13</v>
      </c>
    </row>
    <row r="21" spans="1:27" ht="18" customHeight="1" thickBot="1">
      <c r="A21" s="327"/>
      <c r="B21" s="56" t="s">
        <v>2</v>
      </c>
      <c r="C21" s="57" t="s">
        <v>3</v>
      </c>
      <c r="D21" s="58" t="s">
        <v>2</v>
      </c>
      <c r="E21" s="59" t="s">
        <v>3</v>
      </c>
      <c r="F21" s="56" t="s">
        <v>2</v>
      </c>
      <c r="G21" s="57" t="s">
        <v>3</v>
      </c>
      <c r="H21" s="58" t="s">
        <v>2</v>
      </c>
      <c r="I21" s="59" t="s">
        <v>3</v>
      </c>
      <c r="J21" s="56" t="s">
        <v>2</v>
      </c>
      <c r="K21" s="57" t="s">
        <v>3</v>
      </c>
      <c r="L21" s="58" t="s">
        <v>2</v>
      </c>
      <c r="M21" s="59" t="s">
        <v>3</v>
      </c>
      <c r="N21" s="56" t="s">
        <v>2</v>
      </c>
      <c r="O21" s="57" t="s">
        <v>3</v>
      </c>
      <c r="P21" s="58" t="s">
        <v>2</v>
      </c>
      <c r="Q21" s="59" t="s">
        <v>3</v>
      </c>
      <c r="R21" s="56" t="s">
        <v>2</v>
      </c>
      <c r="S21" s="57" t="s">
        <v>3</v>
      </c>
      <c r="T21" s="58" t="s">
        <v>2</v>
      </c>
      <c r="U21" s="59" t="s">
        <v>3</v>
      </c>
      <c r="V21" s="58" t="s">
        <v>2</v>
      </c>
      <c r="W21" s="59" t="s">
        <v>3</v>
      </c>
      <c r="X21" s="58" t="s">
        <v>2</v>
      </c>
      <c r="Y21" s="59" t="s">
        <v>3</v>
      </c>
      <c r="Z21" s="53"/>
      <c r="AA21" s="51"/>
    </row>
    <row r="22" spans="1:27" ht="18" customHeight="1">
      <c r="A22" s="75" t="s">
        <v>4</v>
      </c>
      <c r="B22" s="65"/>
      <c r="C22" s="65"/>
      <c r="D22" s="64"/>
      <c r="E22" s="65"/>
      <c r="F22" s="64"/>
      <c r="G22" s="65"/>
      <c r="H22" s="64"/>
      <c r="I22" s="65"/>
      <c r="J22" s="64"/>
      <c r="K22" s="65"/>
      <c r="L22" s="64"/>
      <c r="M22" s="65"/>
      <c r="N22" s="64"/>
      <c r="O22" s="65"/>
      <c r="P22" s="64"/>
      <c r="Q22" s="65"/>
      <c r="R22" s="64"/>
      <c r="S22" s="65"/>
      <c r="T22" s="64"/>
      <c r="U22" s="65"/>
      <c r="V22" s="64"/>
      <c r="W22" s="65"/>
      <c r="X22" s="64"/>
      <c r="Y22" s="65"/>
      <c r="Z22" s="7">
        <f>SUM(B22:Y22)</f>
        <v>0</v>
      </c>
      <c r="AA22" s="10"/>
    </row>
    <row r="23" spans="1:27" ht="18" customHeight="1" thickBot="1">
      <c r="A23" s="76" t="s">
        <v>37</v>
      </c>
      <c r="B23" s="67"/>
      <c r="C23" s="67"/>
      <c r="D23" s="66"/>
      <c r="E23" s="67"/>
      <c r="F23" s="66"/>
      <c r="G23" s="67"/>
      <c r="H23" s="66"/>
      <c r="I23" s="67"/>
      <c r="J23" s="66"/>
      <c r="K23" s="67"/>
      <c r="L23" s="66"/>
      <c r="M23" s="67"/>
      <c r="N23" s="66"/>
      <c r="O23" s="67"/>
      <c r="P23" s="66"/>
      <c r="Q23" s="67"/>
      <c r="R23" s="66"/>
      <c r="S23" s="67"/>
      <c r="T23" s="66"/>
      <c r="U23" s="67"/>
      <c r="V23" s="66"/>
      <c r="W23" s="67"/>
      <c r="X23" s="66"/>
      <c r="Y23" s="67"/>
      <c r="Z23" s="11">
        <f>SUM(B23:Y23)</f>
        <v>0</v>
      </c>
      <c r="AA23" s="9">
        <f>SUM(Z22:Z23)</f>
        <v>0</v>
      </c>
    </row>
    <row r="24" spans="1:27" ht="18" customHeight="1">
      <c r="A24" s="77" t="s">
        <v>34</v>
      </c>
      <c r="B24" s="73"/>
      <c r="C24" s="64"/>
      <c r="D24" s="64"/>
      <c r="E24" s="65"/>
      <c r="F24" s="64"/>
      <c r="G24" s="65"/>
      <c r="H24" s="64"/>
      <c r="I24" s="65"/>
      <c r="J24" s="64"/>
      <c r="K24" s="65"/>
      <c r="L24" s="64"/>
      <c r="M24" s="65"/>
      <c r="N24" s="64"/>
      <c r="O24" s="65"/>
      <c r="P24" s="64"/>
      <c r="Q24" s="65"/>
      <c r="R24" s="64"/>
      <c r="S24" s="65"/>
      <c r="T24" s="64"/>
      <c r="U24" s="65"/>
      <c r="V24" s="64"/>
      <c r="W24" s="65"/>
      <c r="X24" s="64"/>
      <c r="Y24" s="65"/>
      <c r="Z24" s="13">
        <f>SUM(B24:Y24)</f>
        <v>0</v>
      </c>
      <c r="AA24" s="5"/>
    </row>
    <row r="25" spans="1:27" ht="18" customHeight="1" thickBot="1">
      <c r="A25" s="28" t="s">
        <v>0</v>
      </c>
      <c r="B25" s="74"/>
      <c r="C25" s="66"/>
      <c r="D25" s="66"/>
      <c r="E25" s="67"/>
      <c r="F25" s="66"/>
      <c r="G25" s="67"/>
      <c r="H25" s="66"/>
      <c r="I25" s="67"/>
      <c r="J25" s="66"/>
      <c r="K25" s="67"/>
      <c r="L25" s="66"/>
      <c r="M25" s="67"/>
      <c r="N25" s="66"/>
      <c r="O25" s="67"/>
      <c r="P25" s="66"/>
      <c r="Q25" s="67"/>
      <c r="R25" s="66"/>
      <c r="S25" s="67"/>
      <c r="T25" s="66"/>
      <c r="U25" s="67"/>
      <c r="V25" s="66"/>
      <c r="W25" s="67"/>
      <c r="X25" s="66"/>
      <c r="Y25" s="67"/>
      <c r="Z25" s="8">
        <f>SUM(B25:Y25)</f>
        <v>0</v>
      </c>
      <c r="AA25" s="18"/>
    </row>
    <row r="26" spans="1:27" ht="18" customHeight="1">
      <c r="A26" s="28" t="s">
        <v>35</v>
      </c>
      <c r="B26" s="7">
        <v>0</v>
      </c>
      <c r="C26" s="7">
        <v>0</v>
      </c>
      <c r="D26" s="7">
        <v>0</v>
      </c>
      <c r="E26" s="7">
        <v>0</v>
      </c>
      <c r="F26" s="7">
        <f>SUM(B24-B25)</f>
        <v>0</v>
      </c>
      <c r="G26" s="7">
        <f>SUM(C24-C25)</f>
        <v>0</v>
      </c>
      <c r="H26" s="7">
        <f>SUM(D24-D25)</f>
        <v>0</v>
      </c>
      <c r="I26" s="7">
        <f t="shared" ref="I26:U26" si="24">SUM(E24-E25)</f>
        <v>0</v>
      </c>
      <c r="J26" s="7">
        <f t="shared" si="24"/>
        <v>0</v>
      </c>
      <c r="K26" s="7">
        <f t="shared" si="24"/>
        <v>0</v>
      </c>
      <c r="L26" s="7">
        <f t="shared" si="24"/>
        <v>0</v>
      </c>
      <c r="M26" s="7">
        <f t="shared" si="24"/>
        <v>0</v>
      </c>
      <c r="N26" s="7">
        <f t="shared" si="24"/>
        <v>0</v>
      </c>
      <c r="O26" s="7">
        <f t="shared" si="24"/>
        <v>0</v>
      </c>
      <c r="P26" s="7">
        <f t="shared" si="24"/>
        <v>0</v>
      </c>
      <c r="Q26" s="7">
        <f t="shared" si="24"/>
        <v>0</v>
      </c>
      <c r="R26" s="7">
        <f t="shared" si="24"/>
        <v>0</v>
      </c>
      <c r="S26" s="7">
        <f t="shared" si="24"/>
        <v>0</v>
      </c>
      <c r="T26" s="7">
        <f t="shared" si="24"/>
        <v>0</v>
      </c>
      <c r="U26" s="7">
        <f t="shared" si="24"/>
        <v>0</v>
      </c>
      <c r="V26" s="7">
        <f t="shared" ref="V26" si="25">SUM(R24-R25)</f>
        <v>0</v>
      </c>
      <c r="W26" s="7">
        <f t="shared" ref="W26" si="26">SUM(S24-S25)</f>
        <v>0</v>
      </c>
      <c r="X26" s="7">
        <f t="shared" ref="X26" si="27">SUM(T24-T25)</f>
        <v>0</v>
      </c>
      <c r="Y26" s="7">
        <f t="shared" ref="Y26" si="28">SUM(U24-U25)</f>
        <v>0</v>
      </c>
      <c r="Z26" s="8">
        <f>SUM(B26:Y26)</f>
        <v>0</v>
      </c>
      <c r="AA26" s="18">
        <f>SUM(Z25:Z26)</f>
        <v>0</v>
      </c>
    </row>
    <row r="27" spans="1:27" ht="17.25" customHeight="1" thickBot="1">
      <c r="A27" s="29" t="s">
        <v>39</v>
      </c>
      <c r="B27" s="325">
        <f>SUM(B26+C26)</f>
        <v>0</v>
      </c>
      <c r="C27" s="316"/>
      <c r="D27" s="315">
        <f t="shared" ref="D27" si="29">SUM(D26+E26)</f>
        <v>0</v>
      </c>
      <c r="E27" s="316"/>
      <c r="F27" s="315">
        <f t="shared" ref="F27" si="30">SUM(F26+G26)</f>
        <v>0</v>
      </c>
      <c r="G27" s="316"/>
      <c r="H27" s="315">
        <f t="shared" ref="H27" si="31">SUM(H26+I26)</f>
        <v>0</v>
      </c>
      <c r="I27" s="316"/>
      <c r="J27" s="315">
        <f t="shared" ref="J27" si="32">SUM(J26+K26)</f>
        <v>0</v>
      </c>
      <c r="K27" s="316"/>
      <c r="L27" s="315">
        <f t="shared" ref="L27" si="33">SUM(L26+M26)</f>
        <v>0</v>
      </c>
      <c r="M27" s="316"/>
      <c r="N27" s="315">
        <f t="shared" ref="N27" si="34">SUM(N26+O26)</f>
        <v>0</v>
      </c>
      <c r="O27" s="316"/>
      <c r="P27" s="315">
        <f t="shared" ref="P27" si="35">SUM(P26+Q26)</f>
        <v>0</v>
      </c>
      <c r="Q27" s="316"/>
      <c r="R27" s="315">
        <f t="shared" ref="R27" si="36">SUM(R26+S26)</f>
        <v>0</v>
      </c>
      <c r="S27" s="316"/>
      <c r="T27" s="315">
        <f t="shared" ref="T27" si="37">SUM(T26+U26)</f>
        <v>0</v>
      </c>
      <c r="U27" s="316"/>
      <c r="V27" s="315">
        <f t="shared" ref="V27" si="38">SUM(V26+W26)</f>
        <v>0</v>
      </c>
      <c r="W27" s="316"/>
      <c r="X27" s="315">
        <f t="shared" ref="X27" si="39">SUM(X26+Y26)</f>
        <v>0</v>
      </c>
      <c r="Y27" s="316"/>
      <c r="Z27" s="78"/>
      <c r="AA27" s="79"/>
    </row>
    <row r="28" spans="1:27" ht="18" customHeight="1" thickBot="1">
      <c r="A28" s="326" t="s">
        <v>83</v>
      </c>
      <c r="B28" s="317" t="s">
        <v>125</v>
      </c>
      <c r="C28" s="318"/>
      <c r="D28" s="317" t="s">
        <v>114</v>
      </c>
      <c r="E28" s="318"/>
      <c r="F28" s="317" t="s">
        <v>115</v>
      </c>
      <c r="G28" s="318"/>
      <c r="H28" s="317" t="s">
        <v>116</v>
      </c>
      <c r="I28" s="318"/>
      <c r="J28" s="317" t="s">
        <v>117</v>
      </c>
      <c r="K28" s="318"/>
      <c r="L28" s="317" t="s">
        <v>118</v>
      </c>
      <c r="M28" s="318"/>
      <c r="N28" s="317" t="s">
        <v>119</v>
      </c>
      <c r="O28" s="318"/>
      <c r="P28" s="317" t="s">
        <v>120</v>
      </c>
      <c r="Q28" s="318"/>
      <c r="R28" s="317" t="s">
        <v>121</v>
      </c>
      <c r="S28" s="318"/>
      <c r="T28" s="317" t="s">
        <v>122</v>
      </c>
      <c r="U28" s="318"/>
      <c r="V28" s="317" t="s">
        <v>123</v>
      </c>
      <c r="W28" s="318"/>
      <c r="X28" s="317" t="s">
        <v>126</v>
      </c>
      <c r="Y28" s="318"/>
      <c r="Z28" s="54" t="s">
        <v>11</v>
      </c>
      <c r="AA28" s="52" t="s">
        <v>13</v>
      </c>
    </row>
    <row r="29" spans="1:27" ht="18" customHeight="1" thickBot="1">
      <c r="A29" s="327"/>
      <c r="B29" s="56" t="s">
        <v>2</v>
      </c>
      <c r="C29" s="57" t="s">
        <v>3</v>
      </c>
      <c r="D29" s="58" t="s">
        <v>2</v>
      </c>
      <c r="E29" s="59" t="s">
        <v>3</v>
      </c>
      <c r="F29" s="56" t="s">
        <v>2</v>
      </c>
      <c r="G29" s="57" t="s">
        <v>3</v>
      </c>
      <c r="H29" s="58" t="s">
        <v>2</v>
      </c>
      <c r="I29" s="59" t="s">
        <v>3</v>
      </c>
      <c r="J29" s="56" t="s">
        <v>2</v>
      </c>
      <c r="K29" s="57" t="s">
        <v>3</v>
      </c>
      <c r="L29" s="58" t="s">
        <v>2</v>
      </c>
      <c r="M29" s="59" t="s">
        <v>3</v>
      </c>
      <c r="N29" s="56" t="s">
        <v>2</v>
      </c>
      <c r="O29" s="57" t="s">
        <v>3</v>
      </c>
      <c r="P29" s="58" t="s">
        <v>2</v>
      </c>
      <c r="Q29" s="59" t="s">
        <v>3</v>
      </c>
      <c r="R29" s="56" t="s">
        <v>2</v>
      </c>
      <c r="S29" s="57" t="s">
        <v>3</v>
      </c>
      <c r="T29" s="58" t="s">
        <v>2</v>
      </c>
      <c r="U29" s="59" t="s">
        <v>3</v>
      </c>
      <c r="V29" s="58" t="s">
        <v>2</v>
      </c>
      <c r="W29" s="59" t="s">
        <v>3</v>
      </c>
      <c r="X29" s="58" t="s">
        <v>2</v>
      </c>
      <c r="Y29" s="59" t="s">
        <v>3</v>
      </c>
      <c r="Z29" s="53"/>
      <c r="AA29" s="51"/>
    </row>
    <row r="30" spans="1:27" ht="18" customHeight="1">
      <c r="A30" s="75" t="s">
        <v>4</v>
      </c>
      <c r="B30" s="65"/>
      <c r="C30" s="65"/>
      <c r="D30" s="64"/>
      <c r="E30" s="65"/>
      <c r="F30" s="64"/>
      <c r="G30" s="65"/>
      <c r="H30" s="64"/>
      <c r="I30" s="65"/>
      <c r="J30" s="64"/>
      <c r="K30" s="65"/>
      <c r="L30" s="64"/>
      <c r="M30" s="65"/>
      <c r="N30" s="64"/>
      <c r="O30" s="65"/>
      <c r="P30" s="64"/>
      <c r="Q30" s="65"/>
      <c r="R30" s="64"/>
      <c r="S30" s="65"/>
      <c r="T30" s="64"/>
      <c r="U30" s="65"/>
      <c r="V30" s="64"/>
      <c r="W30" s="65"/>
      <c r="X30" s="64"/>
      <c r="Y30" s="65"/>
      <c r="Z30" s="7">
        <f>SUM(B30:Y30)</f>
        <v>0</v>
      </c>
      <c r="AA30" s="10"/>
    </row>
    <row r="31" spans="1:27" ht="18" customHeight="1" thickBot="1">
      <c r="A31" s="76" t="s">
        <v>37</v>
      </c>
      <c r="B31" s="67"/>
      <c r="C31" s="67"/>
      <c r="D31" s="66"/>
      <c r="E31" s="67"/>
      <c r="F31" s="66"/>
      <c r="G31" s="67"/>
      <c r="H31" s="66"/>
      <c r="I31" s="67"/>
      <c r="J31" s="66"/>
      <c r="K31" s="67"/>
      <c r="L31" s="66"/>
      <c r="M31" s="67"/>
      <c r="N31" s="66"/>
      <c r="O31" s="67"/>
      <c r="P31" s="66"/>
      <c r="Q31" s="67"/>
      <c r="R31" s="66"/>
      <c r="S31" s="67"/>
      <c r="T31" s="66"/>
      <c r="U31" s="67"/>
      <c r="V31" s="66"/>
      <c r="W31" s="67"/>
      <c r="X31" s="66"/>
      <c r="Y31" s="67"/>
      <c r="Z31" s="11">
        <f>SUM(B31:Y31)</f>
        <v>0</v>
      </c>
      <c r="AA31" s="9">
        <f>SUM(Z30:Z31)</f>
        <v>0</v>
      </c>
    </row>
    <row r="32" spans="1:27" ht="18" customHeight="1">
      <c r="A32" s="77" t="s">
        <v>34</v>
      </c>
      <c r="B32" s="73"/>
      <c r="C32" s="64"/>
      <c r="D32" s="64"/>
      <c r="E32" s="65"/>
      <c r="F32" s="64"/>
      <c r="G32" s="65"/>
      <c r="H32" s="64"/>
      <c r="I32" s="65"/>
      <c r="J32" s="64"/>
      <c r="K32" s="65"/>
      <c r="L32" s="64"/>
      <c r="M32" s="65"/>
      <c r="N32" s="64"/>
      <c r="O32" s="65"/>
      <c r="P32" s="64"/>
      <c r="Q32" s="65"/>
      <c r="R32" s="64"/>
      <c r="S32" s="65"/>
      <c r="T32" s="64"/>
      <c r="U32" s="65"/>
      <c r="V32" s="64"/>
      <c r="W32" s="65"/>
      <c r="X32" s="64"/>
      <c r="Y32" s="65"/>
      <c r="Z32" s="13">
        <f>SUM(B32:Y32)</f>
        <v>0</v>
      </c>
      <c r="AA32" s="5"/>
    </row>
    <row r="33" spans="1:27" ht="18" customHeight="1" thickBot="1">
      <c r="A33" s="28" t="s">
        <v>0</v>
      </c>
      <c r="B33" s="74"/>
      <c r="C33" s="66"/>
      <c r="D33" s="66"/>
      <c r="E33" s="67"/>
      <c r="F33" s="66"/>
      <c r="G33" s="67"/>
      <c r="H33" s="66"/>
      <c r="I33" s="67"/>
      <c r="J33" s="66"/>
      <c r="K33" s="67"/>
      <c r="L33" s="66"/>
      <c r="M33" s="67"/>
      <c r="N33" s="66"/>
      <c r="O33" s="67"/>
      <c r="P33" s="66"/>
      <c r="Q33" s="67"/>
      <c r="R33" s="66"/>
      <c r="S33" s="67"/>
      <c r="T33" s="66"/>
      <c r="U33" s="67"/>
      <c r="V33" s="66"/>
      <c r="W33" s="67"/>
      <c r="X33" s="66"/>
      <c r="Y33" s="67"/>
      <c r="Z33" s="8">
        <f>SUM(B33:Y33)</f>
        <v>0</v>
      </c>
      <c r="AA33" s="18"/>
    </row>
    <row r="34" spans="1:27" ht="18" customHeight="1">
      <c r="A34" s="28" t="s">
        <v>35</v>
      </c>
      <c r="B34" s="7">
        <v>0</v>
      </c>
      <c r="C34" s="7">
        <v>0</v>
      </c>
      <c r="D34" s="7">
        <v>0</v>
      </c>
      <c r="E34" s="7">
        <v>0</v>
      </c>
      <c r="F34" s="7">
        <f>SUM(B32-B33)</f>
        <v>0</v>
      </c>
      <c r="G34" s="7">
        <f t="shared" ref="G34:U34" si="40">SUM(C32-C33)</f>
        <v>0</v>
      </c>
      <c r="H34" s="7">
        <f t="shared" si="40"/>
        <v>0</v>
      </c>
      <c r="I34" s="7">
        <f t="shared" si="40"/>
        <v>0</v>
      </c>
      <c r="J34" s="7">
        <f t="shared" si="40"/>
        <v>0</v>
      </c>
      <c r="K34" s="7">
        <f t="shared" si="40"/>
        <v>0</v>
      </c>
      <c r="L34" s="7">
        <f t="shared" si="40"/>
        <v>0</v>
      </c>
      <c r="M34" s="7">
        <f t="shared" si="40"/>
        <v>0</v>
      </c>
      <c r="N34" s="7">
        <f t="shared" si="40"/>
        <v>0</v>
      </c>
      <c r="O34" s="7">
        <f t="shared" si="40"/>
        <v>0</v>
      </c>
      <c r="P34" s="7">
        <f t="shared" si="40"/>
        <v>0</v>
      </c>
      <c r="Q34" s="7">
        <f t="shared" si="40"/>
        <v>0</v>
      </c>
      <c r="R34" s="7">
        <f t="shared" si="40"/>
        <v>0</v>
      </c>
      <c r="S34" s="7">
        <f t="shared" si="40"/>
        <v>0</v>
      </c>
      <c r="T34" s="7">
        <f t="shared" si="40"/>
        <v>0</v>
      </c>
      <c r="U34" s="7">
        <f t="shared" si="40"/>
        <v>0</v>
      </c>
      <c r="V34" s="7">
        <f t="shared" ref="V34" si="41">SUM(R32-R33)</f>
        <v>0</v>
      </c>
      <c r="W34" s="7">
        <f t="shared" ref="W34" si="42">SUM(S32-S33)</f>
        <v>0</v>
      </c>
      <c r="X34" s="7">
        <f t="shared" ref="X34" si="43">SUM(T32-T33)</f>
        <v>0</v>
      </c>
      <c r="Y34" s="7">
        <f t="shared" ref="Y34" si="44">SUM(U32-U33)</f>
        <v>0</v>
      </c>
      <c r="Z34" s="8">
        <f>SUM(B34:Y34)</f>
        <v>0</v>
      </c>
      <c r="AA34" s="18">
        <f>SUM(Z33:Z34)</f>
        <v>0</v>
      </c>
    </row>
    <row r="35" spans="1:27" ht="17.25" customHeight="1" thickBot="1">
      <c r="A35" s="29" t="s">
        <v>39</v>
      </c>
      <c r="B35" s="325">
        <f>SUM(B34+C34)</f>
        <v>0</v>
      </c>
      <c r="C35" s="316"/>
      <c r="D35" s="315">
        <f t="shared" ref="D35" si="45">SUM(D34+E34)</f>
        <v>0</v>
      </c>
      <c r="E35" s="316"/>
      <c r="F35" s="315">
        <f t="shared" ref="F35" si="46">SUM(F34+G34)</f>
        <v>0</v>
      </c>
      <c r="G35" s="316"/>
      <c r="H35" s="315">
        <f t="shared" ref="H35" si="47">SUM(H34+I34)</f>
        <v>0</v>
      </c>
      <c r="I35" s="316"/>
      <c r="J35" s="315">
        <f t="shared" ref="J35" si="48">SUM(J34+K34)</f>
        <v>0</v>
      </c>
      <c r="K35" s="316"/>
      <c r="L35" s="315">
        <f t="shared" ref="L35" si="49">SUM(L34+M34)</f>
        <v>0</v>
      </c>
      <c r="M35" s="316"/>
      <c r="N35" s="315">
        <f t="shared" ref="N35" si="50">SUM(N34+O34)</f>
        <v>0</v>
      </c>
      <c r="O35" s="316"/>
      <c r="P35" s="315">
        <f t="shared" ref="P35" si="51">SUM(P34+Q34)</f>
        <v>0</v>
      </c>
      <c r="Q35" s="316"/>
      <c r="R35" s="315">
        <f t="shared" ref="R35" si="52">SUM(R34+S34)</f>
        <v>0</v>
      </c>
      <c r="S35" s="316"/>
      <c r="T35" s="315">
        <f t="shared" ref="T35" si="53">SUM(T34+U34)</f>
        <v>0</v>
      </c>
      <c r="U35" s="316"/>
      <c r="V35" s="315">
        <f t="shared" ref="V35" si="54">SUM(V34+W34)</f>
        <v>0</v>
      </c>
      <c r="W35" s="316"/>
      <c r="X35" s="315">
        <f t="shared" ref="X35" si="55">SUM(X34+Y34)</f>
        <v>0</v>
      </c>
      <c r="Y35" s="316"/>
      <c r="Z35" s="78"/>
      <c r="AA35" s="79"/>
    </row>
    <row r="36" spans="1:27" ht="18" customHeight="1" thickBot="1">
      <c r="A36" s="326" t="s">
        <v>82</v>
      </c>
      <c r="B36" s="317" t="s">
        <v>125</v>
      </c>
      <c r="C36" s="318"/>
      <c r="D36" s="317" t="s">
        <v>114</v>
      </c>
      <c r="E36" s="318"/>
      <c r="F36" s="317" t="s">
        <v>115</v>
      </c>
      <c r="G36" s="318"/>
      <c r="H36" s="317" t="s">
        <v>116</v>
      </c>
      <c r="I36" s="318"/>
      <c r="J36" s="317" t="s">
        <v>117</v>
      </c>
      <c r="K36" s="318"/>
      <c r="L36" s="317" t="s">
        <v>118</v>
      </c>
      <c r="M36" s="318"/>
      <c r="N36" s="317" t="s">
        <v>119</v>
      </c>
      <c r="O36" s="318"/>
      <c r="P36" s="317" t="s">
        <v>120</v>
      </c>
      <c r="Q36" s="318"/>
      <c r="R36" s="317" t="s">
        <v>121</v>
      </c>
      <c r="S36" s="318"/>
      <c r="T36" s="317" t="s">
        <v>122</v>
      </c>
      <c r="U36" s="318"/>
      <c r="V36" s="317" t="s">
        <v>123</v>
      </c>
      <c r="W36" s="318"/>
      <c r="X36" s="317" t="s">
        <v>126</v>
      </c>
      <c r="Y36" s="318"/>
      <c r="Z36" s="54" t="s">
        <v>11</v>
      </c>
      <c r="AA36" s="52" t="s">
        <v>13</v>
      </c>
    </row>
    <row r="37" spans="1:27" ht="18" customHeight="1" thickBot="1">
      <c r="A37" s="327"/>
      <c r="B37" s="56" t="s">
        <v>2</v>
      </c>
      <c r="C37" s="57" t="s">
        <v>3</v>
      </c>
      <c r="D37" s="58" t="s">
        <v>2</v>
      </c>
      <c r="E37" s="59" t="s">
        <v>3</v>
      </c>
      <c r="F37" s="56" t="s">
        <v>2</v>
      </c>
      <c r="G37" s="57" t="s">
        <v>3</v>
      </c>
      <c r="H37" s="58" t="s">
        <v>2</v>
      </c>
      <c r="I37" s="59" t="s">
        <v>3</v>
      </c>
      <c r="J37" s="56" t="s">
        <v>2</v>
      </c>
      <c r="K37" s="57" t="s">
        <v>3</v>
      </c>
      <c r="L37" s="58" t="s">
        <v>2</v>
      </c>
      <c r="M37" s="59" t="s">
        <v>3</v>
      </c>
      <c r="N37" s="56" t="s">
        <v>2</v>
      </c>
      <c r="O37" s="57" t="s">
        <v>3</v>
      </c>
      <c r="P37" s="58" t="s">
        <v>2</v>
      </c>
      <c r="Q37" s="59" t="s">
        <v>3</v>
      </c>
      <c r="R37" s="56" t="s">
        <v>2</v>
      </c>
      <c r="S37" s="57" t="s">
        <v>3</v>
      </c>
      <c r="T37" s="58" t="s">
        <v>2</v>
      </c>
      <c r="U37" s="59" t="s">
        <v>3</v>
      </c>
      <c r="V37" s="58" t="s">
        <v>2</v>
      </c>
      <c r="W37" s="59" t="s">
        <v>3</v>
      </c>
      <c r="X37" s="58" t="s">
        <v>2</v>
      </c>
      <c r="Y37" s="59" t="s">
        <v>3</v>
      </c>
      <c r="Z37" s="53"/>
      <c r="AA37" s="51"/>
    </row>
    <row r="38" spans="1:27" ht="18" customHeight="1">
      <c r="A38" s="75" t="s">
        <v>4</v>
      </c>
      <c r="B38" s="65"/>
      <c r="C38" s="65"/>
      <c r="D38" s="64"/>
      <c r="E38" s="65"/>
      <c r="F38" s="64"/>
      <c r="G38" s="65"/>
      <c r="H38" s="64"/>
      <c r="I38" s="65"/>
      <c r="J38" s="64"/>
      <c r="K38" s="65"/>
      <c r="L38" s="64"/>
      <c r="M38" s="65"/>
      <c r="N38" s="64"/>
      <c r="O38" s="65"/>
      <c r="P38" s="64"/>
      <c r="Q38" s="65"/>
      <c r="R38" s="64"/>
      <c r="S38" s="65"/>
      <c r="T38" s="64"/>
      <c r="U38" s="65"/>
      <c r="V38" s="64"/>
      <c r="W38" s="65"/>
      <c r="X38" s="64"/>
      <c r="Y38" s="65"/>
      <c r="Z38" s="7">
        <f>SUM(B38:Y38)</f>
        <v>0</v>
      </c>
      <c r="AA38" s="10"/>
    </row>
    <row r="39" spans="1:27" ht="18" customHeight="1" thickBot="1">
      <c r="A39" s="76" t="s">
        <v>37</v>
      </c>
      <c r="B39" s="67"/>
      <c r="C39" s="67"/>
      <c r="D39" s="66"/>
      <c r="E39" s="67"/>
      <c r="F39" s="66"/>
      <c r="G39" s="67"/>
      <c r="H39" s="66"/>
      <c r="I39" s="67"/>
      <c r="J39" s="66"/>
      <c r="K39" s="67"/>
      <c r="L39" s="66"/>
      <c r="M39" s="67"/>
      <c r="N39" s="66"/>
      <c r="O39" s="67"/>
      <c r="P39" s="66"/>
      <c r="Q39" s="67"/>
      <c r="R39" s="66"/>
      <c r="S39" s="67"/>
      <c r="T39" s="66"/>
      <c r="U39" s="67"/>
      <c r="V39" s="66"/>
      <c r="W39" s="67"/>
      <c r="X39" s="66"/>
      <c r="Y39" s="67"/>
      <c r="Z39" s="11">
        <f>SUM(B39:Y39)</f>
        <v>0</v>
      </c>
      <c r="AA39" s="9">
        <f>SUM(Z38:Z39)</f>
        <v>0</v>
      </c>
    </row>
    <row r="40" spans="1:27" ht="18" customHeight="1">
      <c r="A40" s="77" t="s">
        <v>34</v>
      </c>
      <c r="B40" s="73"/>
      <c r="C40" s="64"/>
      <c r="D40" s="64"/>
      <c r="E40" s="65"/>
      <c r="F40" s="64"/>
      <c r="G40" s="65"/>
      <c r="H40" s="64"/>
      <c r="I40" s="65"/>
      <c r="J40" s="64"/>
      <c r="K40" s="65"/>
      <c r="L40" s="64"/>
      <c r="M40" s="65"/>
      <c r="N40" s="64"/>
      <c r="O40" s="65"/>
      <c r="P40" s="64"/>
      <c r="Q40" s="65"/>
      <c r="R40" s="64"/>
      <c r="S40" s="65"/>
      <c r="T40" s="64"/>
      <c r="U40" s="65"/>
      <c r="V40" s="64"/>
      <c r="W40" s="65"/>
      <c r="X40" s="64"/>
      <c r="Y40" s="65"/>
      <c r="Z40" s="13">
        <f>SUM(B40:Y40)</f>
        <v>0</v>
      </c>
      <c r="AA40" s="5"/>
    </row>
    <row r="41" spans="1:27" ht="18" customHeight="1" thickBot="1">
      <c r="A41" s="28" t="s">
        <v>0</v>
      </c>
      <c r="B41" s="74"/>
      <c r="C41" s="66"/>
      <c r="D41" s="66"/>
      <c r="E41" s="67"/>
      <c r="F41" s="66"/>
      <c r="G41" s="67"/>
      <c r="H41" s="66"/>
      <c r="I41" s="67"/>
      <c r="J41" s="66"/>
      <c r="K41" s="67"/>
      <c r="L41" s="66"/>
      <c r="M41" s="67"/>
      <c r="N41" s="66"/>
      <c r="O41" s="67"/>
      <c r="P41" s="66"/>
      <c r="Q41" s="67"/>
      <c r="R41" s="66"/>
      <c r="S41" s="67"/>
      <c r="T41" s="66"/>
      <c r="U41" s="67"/>
      <c r="V41" s="66"/>
      <c r="W41" s="67"/>
      <c r="X41" s="66"/>
      <c r="Y41" s="67"/>
      <c r="Z41" s="8">
        <f>SUM(B41:Y41)</f>
        <v>0</v>
      </c>
      <c r="AA41" s="18"/>
    </row>
    <row r="42" spans="1:27" ht="18" customHeight="1">
      <c r="A42" s="28" t="s">
        <v>35</v>
      </c>
      <c r="B42" s="7">
        <v>0</v>
      </c>
      <c r="C42" s="7">
        <v>0</v>
      </c>
      <c r="D42" s="7">
        <v>0</v>
      </c>
      <c r="E42" s="7">
        <v>0</v>
      </c>
      <c r="F42" s="7">
        <f>SUM(B40-B41)</f>
        <v>0</v>
      </c>
      <c r="G42" s="7">
        <f t="shared" ref="G42:U42" si="56">SUM(C40-C41)</f>
        <v>0</v>
      </c>
      <c r="H42" s="7">
        <f t="shared" si="56"/>
        <v>0</v>
      </c>
      <c r="I42" s="7">
        <f t="shared" si="56"/>
        <v>0</v>
      </c>
      <c r="J42" s="7">
        <f t="shared" si="56"/>
        <v>0</v>
      </c>
      <c r="K42" s="7">
        <f t="shared" si="56"/>
        <v>0</v>
      </c>
      <c r="L42" s="7">
        <f t="shared" si="56"/>
        <v>0</v>
      </c>
      <c r="M42" s="7">
        <f t="shared" si="56"/>
        <v>0</v>
      </c>
      <c r="N42" s="7">
        <f t="shared" si="56"/>
        <v>0</v>
      </c>
      <c r="O42" s="7">
        <f t="shared" si="56"/>
        <v>0</v>
      </c>
      <c r="P42" s="7">
        <f t="shared" si="56"/>
        <v>0</v>
      </c>
      <c r="Q42" s="7">
        <f t="shared" si="56"/>
        <v>0</v>
      </c>
      <c r="R42" s="7">
        <f t="shared" si="56"/>
        <v>0</v>
      </c>
      <c r="S42" s="7">
        <f t="shared" si="56"/>
        <v>0</v>
      </c>
      <c r="T42" s="7">
        <f t="shared" si="56"/>
        <v>0</v>
      </c>
      <c r="U42" s="7">
        <f t="shared" si="56"/>
        <v>0</v>
      </c>
      <c r="V42" s="7">
        <f t="shared" ref="V42" si="57">SUM(R40-R41)</f>
        <v>0</v>
      </c>
      <c r="W42" s="7">
        <f t="shared" ref="W42" si="58">SUM(S40-S41)</f>
        <v>0</v>
      </c>
      <c r="X42" s="7">
        <f t="shared" ref="X42" si="59">SUM(T40-T41)</f>
        <v>0</v>
      </c>
      <c r="Y42" s="7">
        <f t="shared" ref="Y42" si="60">SUM(U40-U41)</f>
        <v>0</v>
      </c>
      <c r="Z42" s="8">
        <f>SUM(B42:Y42)</f>
        <v>0</v>
      </c>
      <c r="AA42" s="18">
        <f>SUM(Z41:Z42)</f>
        <v>0</v>
      </c>
    </row>
    <row r="43" spans="1:27" ht="17.25" customHeight="1" thickBot="1">
      <c r="A43" s="29" t="s">
        <v>39</v>
      </c>
      <c r="B43" s="325">
        <f>SUM(B42+C42)</f>
        <v>0</v>
      </c>
      <c r="C43" s="316"/>
      <c r="D43" s="315">
        <f t="shared" ref="D43" si="61">SUM(D42+E42)</f>
        <v>0</v>
      </c>
      <c r="E43" s="316"/>
      <c r="F43" s="315">
        <f t="shared" ref="F43" si="62">SUM(F42+G42)</f>
        <v>0</v>
      </c>
      <c r="G43" s="316"/>
      <c r="H43" s="315">
        <f t="shared" ref="H43" si="63">SUM(H42+I42)</f>
        <v>0</v>
      </c>
      <c r="I43" s="316"/>
      <c r="J43" s="315">
        <f t="shared" ref="J43" si="64">SUM(J42+K42)</f>
        <v>0</v>
      </c>
      <c r="K43" s="316"/>
      <c r="L43" s="315">
        <f t="shared" ref="L43" si="65">SUM(L42+M42)</f>
        <v>0</v>
      </c>
      <c r="M43" s="316"/>
      <c r="N43" s="315">
        <f t="shared" ref="N43" si="66">SUM(N42+O42)</f>
        <v>0</v>
      </c>
      <c r="O43" s="316"/>
      <c r="P43" s="315">
        <f t="shared" ref="P43" si="67">SUM(P42+Q42)</f>
        <v>0</v>
      </c>
      <c r="Q43" s="316"/>
      <c r="R43" s="315">
        <f t="shared" ref="R43" si="68">SUM(R42+S42)</f>
        <v>0</v>
      </c>
      <c r="S43" s="316"/>
      <c r="T43" s="315">
        <f t="shared" ref="T43" si="69">SUM(T42+U42)</f>
        <v>0</v>
      </c>
      <c r="U43" s="316"/>
      <c r="V43" s="315">
        <f t="shared" ref="V43" si="70">SUM(V42+W42)</f>
        <v>0</v>
      </c>
      <c r="W43" s="316"/>
      <c r="X43" s="315">
        <f t="shared" ref="X43" si="71">SUM(X42+Y42)</f>
        <v>0</v>
      </c>
      <c r="Y43" s="316"/>
      <c r="Z43" s="78"/>
      <c r="AA43" s="79"/>
    </row>
    <row r="44" spans="1:27" ht="18" customHeight="1" thickBot="1">
      <c r="A44" s="326" t="s">
        <v>81</v>
      </c>
      <c r="B44" s="317" t="s">
        <v>125</v>
      </c>
      <c r="C44" s="318"/>
      <c r="D44" s="317" t="s">
        <v>114</v>
      </c>
      <c r="E44" s="318"/>
      <c r="F44" s="317" t="s">
        <v>115</v>
      </c>
      <c r="G44" s="318"/>
      <c r="H44" s="317" t="s">
        <v>116</v>
      </c>
      <c r="I44" s="318"/>
      <c r="J44" s="317" t="s">
        <v>117</v>
      </c>
      <c r="K44" s="318"/>
      <c r="L44" s="317" t="s">
        <v>118</v>
      </c>
      <c r="M44" s="318"/>
      <c r="N44" s="317" t="s">
        <v>119</v>
      </c>
      <c r="O44" s="318"/>
      <c r="P44" s="317" t="s">
        <v>120</v>
      </c>
      <c r="Q44" s="318"/>
      <c r="R44" s="317" t="s">
        <v>121</v>
      </c>
      <c r="S44" s="318"/>
      <c r="T44" s="317" t="s">
        <v>122</v>
      </c>
      <c r="U44" s="318"/>
      <c r="V44" s="317" t="s">
        <v>123</v>
      </c>
      <c r="W44" s="318"/>
      <c r="X44" s="317" t="s">
        <v>126</v>
      </c>
      <c r="Y44" s="318"/>
      <c r="Z44" s="54" t="s">
        <v>11</v>
      </c>
      <c r="AA44" s="52" t="s">
        <v>13</v>
      </c>
    </row>
    <row r="45" spans="1:27" ht="18" customHeight="1" thickBot="1">
      <c r="A45" s="327"/>
      <c r="B45" s="56" t="s">
        <v>2</v>
      </c>
      <c r="C45" s="57" t="s">
        <v>3</v>
      </c>
      <c r="D45" s="58" t="s">
        <v>2</v>
      </c>
      <c r="E45" s="59" t="s">
        <v>3</v>
      </c>
      <c r="F45" s="56" t="s">
        <v>2</v>
      </c>
      <c r="G45" s="57" t="s">
        <v>3</v>
      </c>
      <c r="H45" s="58" t="s">
        <v>2</v>
      </c>
      <c r="I45" s="59" t="s">
        <v>3</v>
      </c>
      <c r="J45" s="56" t="s">
        <v>2</v>
      </c>
      <c r="K45" s="57" t="s">
        <v>3</v>
      </c>
      <c r="L45" s="58" t="s">
        <v>2</v>
      </c>
      <c r="M45" s="59" t="s">
        <v>3</v>
      </c>
      <c r="N45" s="56" t="s">
        <v>2</v>
      </c>
      <c r="O45" s="57" t="s">
        <v>3</v>
      </c>
      <c r="P45" s="58" t="s">
        <v>2</v>
      </c>
      <c r="Q45" s="59" t="s">
        <v>3</v>
      </c>
      <c r="R45" s="56" t="s">
        <v>2</v>
      </c>
      <c r="S45" s="57" t="s">
        <v>3</v>
      </c>
      <c r="T45" s="58" t="s">
        <v>2</v>
      </c>
      <c r="U45" s="59" t="s">
        <v>3</v>
      </c>
      <c r="V45" s="58" t="s">
        <v>2</v>
      </c>
      <c r="W45" s="59" t="s">
        <v>3</v>
      </c>
      <c r="X45" s="58" t="s">
        <v>2</v>
      </c>
      <c r="Y45" s="59" t="s">
        <v>3</v>
      </c>
      <c r="Z45" s="53"/>
      <c r="AA45" s="51"/>
    </row>
    <row r="46" spans="1:27" ht="18" customHeight="1">
      <c r="A46" s="75" t="s">
        <v>4</v>
      </c>
      <c r="B46" s="65"/>
      <c r="C46" s="65"/>
      <c r="D46" s="64"/>
      <c r="E46" s="65"/>
      <c r="F46" s="64"/>
      <c r="G46" s="65"/>
      <c r="H46" s="64"/>
      <c r="I46" s="65"/>
      <c r="J46" s="64"/>
      <c r="K46" s="65"/>
      <c r="L46" s="64"/>
      <c r="M46" s="65"/>
      <c r="N46" s="64"/>
      <c r="O46" s="65"/>
      <c r="P46" s="64"/>
      <c r="Q46" s="65"/>
      <c r="R46" s="64"/>
      <c r="S46" s="65"/>
      <c r="T46" s="64"/>
      <c r="U46" s="65"/>
      <c r="V46" s="64"/>
      <c r="W46" s="65"/>
      <c r="X46" s="64"/>
      <c r="Y46" s="65"/>
      <c r="Z46" s="7">
        <f>SUM(B46:Y46)</f>
        <v>0</v>
      </c>
      <c r="AA46" s="10"/>
    </row>
    <row r="47" spans="1:27" ht="18" customHeight="1" thickBot="1">
      <c r="A47" s="76" t="s">
        <v>37</v>
      </c>
      <c r="B47" s="67"/>
      <c r="C47" s="67"/>
      <c r="D47" s="66"/>
      <c r="E47" s="67"/>
      <c r="F47" s="66"/>
      <c r="G47" s="67"/>
      <c r="H47" s="66"/>
      <c r="I47" s="67"/>
      <c r="J47" s="66"/>
      <c r="K47" s="67"/>
      <c r="L47" s="66"/>
      <c r="M47" s="67"/>
      <c r="N47" s="66"/>
      <c r="O47" s="67"/>
      <c r="P47" s="66"/>
      <c r="Q47" s="67"/>
      <c r="R47" s="66"/>
      <c r="S47" s="67"/>
      <c r="T47" s="66"/>
      <c r="U47" s="67"/>
      <c r="V47" s="66"/>
      <c r="W47" s="67"/>
      <c r="X47" s="66"/>
      <c r="Y47" s="67"/>
      <c r="Z47" s="11">
        <f>SUM(B47:Y47)</f>
        <v>0</v>
      </c>
      <c r="AA47" s="9">
        <f>SUM(Z46:Z47)</f>
        <v>0</v>
      </c>
    </row>
    <row r="48" spans="1:27" ht="18" customHeight="1">
      <c r="A48" s="77" t="s">
        <v>34</v>
      </c>
      <c r="B48" s="73"/>
      <c r="C48" s="64"/>
      <c r="D48" s="64"/>
      <c r="E48" s="65"/>
      <c r="F48" s="64"/>
      <c r="G48" s="65"/>
      <c r="H48" s="64"/>
      <c r="I48" s="65"/>
      <c r="J48" s="64"/>
      <c r="K48" s="65"/>
      <c r="L48" s="64"/>
      <c r="M48" s="65"/>
      <c r="N48" s="64"/>
      <c r="O48" s="65"/>
      <c r="P48" s="64"/>
      <c r="Q48" s="65"/>
      <c r="R48" s="64"/>
      <c r="S48" s="65"/>
      <c r="T48" s="64"/>
      <c r="U48" s="65"/>
      <c r="V48" s="64"/>
      <c r="W48" s="65"/>
      <c r="X48" s="64"/>
      <c r="Y48" s="65"/>
      <c r="Z48" s="13">
        <f>SUM(B48:Y48)</f>
        <v>0</v>
      </c>
      <c r="AA48" s="5"/>
    </row>
    <row r="49" spans="1:27" ht="18" customHeight="1" thickBot="1">
      <c r="A49" s="28" t="s">
        <v>0</v>
      </c>
      <c r="B49" s="74"/>
      <c r="C49" s="66"/>
      <c r="D49" s="66"/>
      <c r="E49" s="67"/>
      <c r="F49" s="66"/>
      <c r="G49" s="67"/>
      <c r="H49" s="66"/>
      <c r="I49" s="67"/>
      <c r="J49" s="66"/>
      <c r="K49" s="67"/>
      <c r="L49" s="66"/>
      <c r="M49" s="67"/>
      <c r="N49" s="66"/>
      <c r="O49" s="67"/>
      <c r="P49" s="66"/>
      <c r="Q49" s="67"/>
      <c r="R49" s="66"/>
      <c r="S49" s="67"/>
      <c r="T49" s="66"/>
      <c r="U49" s="67"/>
      <c r="V49" s="66"/>
      <c r="W49" s="67"/>
      <c r="X49" s="66"/>
      <c r="Y49" s="67"/>
      <c r="Z49" s="8">
        <f>SUM(B49:Y49)</f>
        <v>0</v>
      </c>
      <c r="AA49" s="18"/>
    </row>
    <row r="50" spans="1:27" ht="18" customHeight="1">
      <c r="A50" s="28" t="s">
        <v>35</v>
      </c>
      <c r="B50" s="7">
        <v>0</v>
      </c>
      <c r="C50" s="7">
        <v>0</v>
      </c>
      <c r="D50" s="7">
        <v>0</v>
      </c>
      <c r="E50" s="7">
        <v>0</v>
      </c>
      <c r="F50" s="7">
        <f>SUM(B48-B49)</f>
        <v>0</v>
      </c>
      <c r="G50" s="7">
        <f t="shared" ref="G50:U50" si="72">SUM(C48-C49)</f>
        <v>0</v>
      </c>
      <c r="H50" s="7">
        <f t="shared" si="72"/>
        <v>0</v>
      </c>
      <c r="I50" s="7">
        <f t="shared" si="72"/>
        <v>0</v>
      </c>
      <c r="J50" s="7">
        <f t="shared" si="72"/>
        <v>0</v>
      </c>
      <c r="K50" s="7">
        <f t="shared" si="72"/>
        <v>0</v>
      </c>
      <c r="L50" s="7">
        <f t="shared" si="72"/>
        <v>0</v>
      </c>
      <c r="M50" s="7">
        <f t="shared" si="72"/>
        <v>0</v>
      </c>
      <c r="N50" s="7">
        <f t="shared" si="72"/>
        <v>0</v>
      </c>
      <c r="O50" s="7">
        <f t="shared" si="72"/>
        <v>0</v>
      </c>
      <c r="P50" s="7">
        <f t="shared" si="72"/>
        <v>0</v>
      </c>
      <c r="Q50" s="7">
        <f t="shared" si="72"/>
        <v>0</v>
      </c>
      <c r="R50" s="7">
        <f t="shared" si="72"/>
        <v>0</v>
      </c>
      <c r="S50" s="7">
        <f t="shared" si="72"/>
        <v>0</v>
      </c>
      <c r="T50" s="7">
        <f t="shared" si="72"/>
        <v>0</v>
      </c>
      <c r="U50" s="7">
        <f t="shared" si="72"/>
        <v>0</v>
      </c>
      <c r="V50" s="7">
        <f t="shared" ref="V50" si="73">SUM(R48-R49)</f>
        <v>0</v>
      </c>
      <c r="W50" s="7">
        <f t="shared" ref="W50" si="74">SUM(S48-S49)</f>
        <v>0</v>
      </c>
      <c r="X50" s="7">
        <f t="shared" ref="X50" si="75">SUM(T48-T49)</f>
        <v>0</v>
      </c>
      <c r="Y50" s="7">
        <f t="shared" ref="Y50" si="76">SUM(U48-U49)</f>
        <v>0</v>
      </c>
      <c r="Z50" s="8">
        <f>SUM(B50:Y50)</f>
        <v>0</v>
      </c>
      <c r="AA50" s="18">
        <f>SUM(Z49:Z50)</f>
        <v>0</v>
      </c>
    </row>
    <row r="51" spans="1:27" ht="17.25" customHeight="1" thickBot="1">
      <c r="A51" s="29" t="s">
        <v>39</v>
      </c>
      <c r="B51" s="325">
        <f>SUM(B50+C50)</f>
        <v>0</v>
      </c>
      <c r="C51" s="316"/>
      <c r="D51" s="315">
        <f t="shared" ref="D51" si="77">SUM(D50+E50)</f>
        <v>0</v>
      </c>
      <c r="E51" s="316"/>
      <c r="F51" s="315">
        <f t="shared" ref="F51" si="78">SUM(F50+G50)</f>
        <v>0</v>
      </c>
      <c r="G51" s="316"/>
      <c r="H51" s="315">
        <f t="shared" ref="H51" si="79">SUM(H50+I50)</f>
        <v>0</v>
      </c>
      <c r="I51" s="316"/>
      <c r="J51" s="315">
        <f t="shared" ref="J51" si="80">SUM(J50+K50)</f>
        <v>0</v>
      </c>
      <c r="K51" s="316"/>
      <c r="L51" s="315">
        <f t="shared" ref="L51" si="81">SUM(L50+M50)</f>
        <v>0</v>
      </c>
      <c r="M51" s="316"/>
      <c r="N51" s="315">
        <f t="shared" ref="N51" si="82">SUM(N50+O50)</f>
        <v>0</v>
      </c>
      <c r="O51" s="316"/>
      <c r="P51" s="315">
        <f t="shared" ref="P51" si="83">SUM(P50+Q50)</f>
        <v>0</v>
      </c>
      <c r="Q51" s="316"/>
      <c r="R51" s="315">
        <f t="shared" ref="R51" si="84">SUM(R50+S50)</f>
        <v>0</v>
      </c>
      <c r="S51" s="316"/>
      <c r="T51" s="315">
        <f t="shared" ref="T51" si="85">SUM(T50+U50)</f>
        <v>0</v>
      </c>
      <c r="U51" s="316"/>
      <c r="V51" s="315">
        <f t="shared" ref="V51" si="86">SUM(V50+W50)</f>
        <v>0</v>
      </c>
      <c r="W51" s="316"/>
      <c r="X51" s="315">
        <f t="shared" ref="X51" si="87">SUM(X50+Y50)</f>
        <v>0</v>
      </c>
      <c r="Y51" s="316"/>
      <c r="Z51" s="78"/>
      <c r="AA51" s="79"/>
    </row>
    <row r="52" spans="1:27" ht="18" customHeight="1" thickBot="1">
      <c r="A52" s="326" t="s">
        <v>80</v>
      </c>
      <c r="B52" s="317" t="s">
        <v>125</v>
      </c>
      <c r="C52" s="318"/>
      <c r="D52" s="317" t="s">
        <v>114</v>
      </c>
      <c r="E52" s="318"/>
      <c r="F52" s="317" t="s">
        <v>115</v>
      </c>
      <c r="G52" s="318"/>
      <c r="H52" s="317" t="s">
        <v>116</v>
      </c>
      <c r="I52" s="318"/>
      <c r="J52" s="317" t="s">
        <v>117</v>
      </c>
      <c r="K52" s="318"/>
      <c r="L52" s="317" t="s">
        <v>118</v>
      </c>
      <c r="M52" s="318"/>
      <c r="N52" s="317" t="s">
        <v>119</v>
      </c>
      <c r="O52" s="318"/>
      <c r="P52" s="317" t="s">
        <v>120</v>
      </c>
      <c r="Q52" s="318"/>
      <c r="R52" s="317" t="s">
        <v>121</v>
      </c>
      <c r="S52" s="318"/>
      <c r="T52" s="317" t="s">
        <v>122</v>
      </c>
      <c r="U52" s="318"/>
      <c r="V52" s="317" t="s">
        <v>123</v>
      </c>
      <c r="W52" s="318"/>
      <c r="X52" s="317" t="s">
        <v>126</v>
      </c>
      <c r="Y52" s="318"/>
      <c r="Z52" s="54" t="s">
        <v>11</v>
      </c>
      <c r="AA52" s="52" t="s">
        <v>13</v>
      </c>
    </row>
    <row r="53" spans="1:27" ht="18" customHeight="1" thickBot="1">
      <c r="A53" s="327"/>
      <c r="B53" s="56" t="s">
        <v>2</v>
      </c>
      <c r="C53" s="57" t="s">
        <v>3</v>
      </c>
      <c r="D53" s="58" t="s">
        <v>2</v>
      </c>
      <c r="E53" s="59" t="s">
        <v>3</v>
      </c>
      <c r="F53" s="56" t="s">
        <v>2</v>
      </c>
      <c r="G53" s="57" t="s">
        <v>3</v>
      </c>
      <c r="H53" s="58" t="s">
        <v>2</v>
      </c>
      <c r="I53" s="59" t="s">
        <v>3</v>
      </c>
      <c r="J53" s="56" t="s">
        <v>2</v>
      </c>
      <c r="K53" s="57" t="s">
        <v>3</v>
      </c>
      <c r="L53" s="58" t="s">
        <v>2</v>
      </c>
      <c r="M53" s="59" t="s">
        <v>3</v>
      </c>
      <c r="N53" s="56" t="s">
        <v>2</v>
      </c>
      <c r="O53" s="57" t="s">
        <v>3</v>
      </c>
      <c r="P53" s="58" t="s">
        <v>2</v>
      </c>
      <c r="Q53" s="59" t="s">
        <v>3</v>
      </c>
      <c r="R53" s="56" t="s">
        <v>2</v>
      </c>
      <c r="S53" s="57" t="s">
        <v>3</v>
      </c>
      <c r="T53" s="58" t="s">
        <v>2</v>
      </c>
      <c r="U53" s="59" t="s">
        <v>3</v>
      </c>
      <c r="V53" s="58" t="s">
        <v>2</v>
      </c>
      <c r="W53" s="59" t="s">
        <v>3</v>
      </c>
      <c r="X53" s="58" t="s">
        <v>2</v>
      </c>
      <c r="Y53" s="59" t="s">
        <v>3</v>
      </c>
      <c r="Z53" s="53"/>
      <c r="AA53" s="51"/>
    </row>
    <row r="54" spans="1:27" ht="18" customHeight="1">
      <c r="A54" s="75" t="s">
        <v>4</v>
      </c>
      <c r="B54" s="65"/>
      <c r="C54" s="65"/>
      <c r="D54" s="64"/>
      <c r="E54" s="65"/>
      <c r="F54" s="64"/>
      <c r="G54" s="65"/>
      <c r="H54" s="64"/>
      <c r="I54" s="65"/>
      <c r="J54" s="64"/>
      <c r="K54" s="65"/>
      <c r="L54" s="64"/>
      <c r="M54" s="65"/>
      <c r="N54" s="64"/>
      <c r="O54" s="65"/>
      <c r="P54" s="64"/>
      <c r="Q54" s="65"/>
      <c r="R54" s="64"/>
      <c r="S54" s="65"/>
      <c r="T54" s="64"/>
      <c r="U54" s="65"/>
      <c r="V54" s="64"/>
      <c r="W54" s="65"/>
      <c r="X54" s="64"/>
      <c r="Y54" s="65"/>
      <c r="Z54" s="7">
        <f>SUM(B54:Y54)</f>
        <v>0</v>
      </c>
      <c r="AA54" s="10"/>
    </row>
    <row r="55" spans="1:27" ht="18" customHeight="1" thickBot="1">
      <c r="A55" s="76" t="s">
        <v>37</v>
      </c>
      <c r="B55" s="67"/>
      <c r="C55" s="67"/>
      <c r="D55" s="66"/>
      <c r="E55" s="67"/>
      <c r="F55" s="66"/>
      <c r="G55" s="67"/>
      <c r="H55" s="66"/>
      <c r="I55" s="67"/>
      <c r="J55" s="66"/>
      <c r="K55" s="67"/>
      <c r="L55" s="66"/>
      <c r="M55" s="67"/>
      <c r="N55" s="66"/>
      <c r="O55" s="67"/>
      <c r="P55" s="66"/>
      <c r="Q55" s="67"/>
      <c r="R55" s="66"/>
      <c r="S55" s="67"/>
      <c r="T55" s="66"/>
      <c r="U55" s="67"/>
      <c r="V55" s="66"/>
      <c r="W55" s="67"/>
      <c r="X55" s="66"/>
      <c r="Y55" s="67"/>
      <c r="Z55" s="11">
        <f>SUM(B55:Y55)</f>
        <v>0</v>
      </c>
      <c r="AA55" s="9">
        <f>SUM(Z54:Z55)</f>
        <v>0</v>
      </c>
    </row>
    <row r="56" spans="1:27" ht="18" customHeight="1">
      <c r="A56" s="77" t="s">
        <v>34</v>
      </c>
      <c r="B56" s="73"/>
      <c r="C56" s="64"/>
      <c r="D56" s="64"/>
      <c r="E56" s="65"/>
      <c r="F56" s="64"/>
      <c r="G56" s="65"/>
      <c r="H56" s="64"/>
      <c r="I56" s="65"/>
      <c r="J56" s="64"/>
      <c r="K56" s="65"/>
      <c r="L56" s="64"/>
      <c r="M56" s="65"/>
      <c r="N56" s="64"/>
      <c r="O56" s="65"/>
      <c r="P56" s="64"/>
      <c r="Q56" s="65"/>
      <c r="R56" s="64"/>
      <c r="S56" s="65"/>
      <c r="T56" s="64"/>
      <c r="U56" s="65"/>
      <c r="V56" s="64"/>
      <c r="W56" s="65"/>
      <c r="X56" s="64"/>
      <c r="Y56" s="65"/>
      <c r="Z56" s="13">
        <f>SUM(B56:Y56)</f>
        <v>0</v>
      </c>
      <c r="AA56" s="5"/>
    </row>
    <row r="57" spans="1:27" ht="18" customHeight="1" thickBot="1">
      <c r="A57" s="28" t="s">
        <v>0</v>
      </c>
      <c r="B57" s="74"/>
      <c r="C57" s="66"/>
      <c r="D57" s="66"/>
      <c r="E57" s="67"/>
      <c r="F57" s="66"/>
      <c r="G57" s="67"/>
      <c r="H57" s="66"/>
      <c r="I57" s="67"/>
      <c r="J57" s="66"/>
      <c r="K57" s="67"/>
      <c r="L57" s="66"/>
      <c r="M57" s="67"/>
      <c r="N57" s="66"/>
      <c r="O57" s="67"/>
      <c r="P57" s="66"/>
      <c r="Q57" s="67"/>
      <c r="R57" s="66"/>
      <c r="S57" s="67"/>
      <c r="T57" s="66"/>
      <c r="U57" s="67"/>
      <c r="V57" s="66"/>
      <c r="W57" s="67"/>
      <c r="X57" s="66"/>
      <c r="Y57" s="67"/>
      <c r="Z57" s="8">
        <f>SUM(B57:Y57)</f>
        <v>0</v>
      </c>
      <c r="AA57" s="18"/>
    </row>
    <row r="58" spans="1:27" ht="18" customHeight="1">
      <c r="A58" s="28" t="s">
        <v>35</v>
      </c>
      <c r="B58" s="7">
        <v>0</v>
      </c>
      <c r="C58" s="7">
        <v>0</v>
      </c>
      <c r="D58" s="7">
        <v>0</v>
      </c>
      <c r="E58" s="7">
        <v>0</v>
      </c>
      <c r="F58" s="7">
        <f>SUM(B56-B57)</f>
        <v>0</v>
      </c>
      <c r="G58" s="7">
        <f t="shared" ref="G58:U58" si="88">SUM(C56-C57)</f>
        <v>0</v>
      </c>
      <c r="H58" s="7">
        <f t="shared" si="88"/>
        <v>0</v>
      </c>
      <c r="I58" s="7">
        <f t="shared" si="88"/>
        <v>0</v>
      </c>
      <c r="J58" s="7">
        <f t="shared" si="88"/>
        <v>0</v>
      </c>
      <c r="K58" s="7">
        <f t="shared" si="88"/>
        <v>0</v>
      </c>
      <c r="L58" s="7">
        <f t="shared" si="88"/>
        <v>0</v>
      </c>
      <c r="M58" s="7">
        <f t="shared" si="88"/>
        <v>0</v>
      </c>
      <c r="N58" s="7">
        <f t="shared" si="88"/>
        <v>0</v>
      </c>
      <c r="O58" s="7">
        <f t="shared" si="88"/>
        <v>0</v>
      </c>
      <c r="P58" s="7">
        <f t="shared" si="88"/>
        <v>0</v>
      </c>
      <c r="Q58" s="7">
        <f t="shared" si="88"/>
        <v>0</v>
      </c>
      <c r="R58" s="7">
        <f t="shared" si="88"/>
        <v>0</v>
      </c>
      <c r="S58" s="7">
        <f t="shared" si="88"/>
        <v>0</v>
      </c>
      <c r="T58" s="7">
        <f t="shared" si="88"/>
        <v>0</v>
      </c>
      <c r="U58" s="7">
        <f t="shared" si="88"/>
        <v>0</v>
      </c>
      <c r="V58" s="7">
        <f t="shared" ref="V58" si="89">SUM(R56-R57)</f>
        <v>0</v>
      </c>
      <c r="W58" s="7">
        <f t="shared" ref="W58" si="90">SUM(S56-S57)</f>
        <v>0</v>
      </c>
      <c r="X58" s="7">
        <f t="shared" ref="X58" si="91">SUM(T56-T57)</f>
        <v>0</v>
      </c>
      <c r="Y58" s="7">
        <f t="shared" ref="Y58" si="92">SUM(U56-U57)</f>
        <v>0</v>
      </c>
      <c r="Z58" s="8">
        <f>SUM(B58:Y58)</f>
        <v>0</v>
      </c>
      <c r="AA58" s="18">
        <f>SUM(Z57:Z58)</f>
        <v>0</v>
      </c>
    </row>
    <row r="59" spans="1:27" ht="17.25" customHeight="1" thickBot="1">
      <c r="A59" s="29" t="s">
        <v>39</v>
      </c>
      <c r="B59" s="325">
        <f>SUM(B58+C58)</f>
        <v>0</v>
      </c>
      <c r="C59" s="316"/>
      <c r="D59" s="315">
        <f t="shared" ref="D59" si="93">SUM(D58+E58)</f>
        <v>0</v>
      </c>
      <c r="E59" s="316"/>
      <c r="F59" s="315">
        <f t="shared" ref="F59" si="94">SUM(F58+G58)</f>
        <v>0</v>
      </c>
      <c r="G59" s="316"/>
      <c r="H59" s="315">
        <f t="shared" ref="H59" si="95">SUM(H58+I58)</f>
        <v>0</v>
      </c>
      <c r="I59" s="316"/>
      <c r="J59" s="315">
        <f t="shared" ref="J59" si="96">SUM(J58+K58)</f>
        <v>0</v>
      </c>
      <c r="K59" s="316"/>
      <c r="L59" s="315">
        <f t="shared" ref="L59" si="97">SUM(L58+M58)</f>
        <v>0</v>
      </c>
      <c r="M59" s="316"/>
      <c r="N59" s="315">
        <f t="shared" ref="N59" si="98">SUM(N58+O58)</f>
        <v>0</v>
      </c>
      <c r="O59" s="316"/>
      <c r="P59" s="315">
        <f t="shared" ref="P59" si="99">SUM(P58+Q58)</f>
        <v>0</v>
      </c>
      <c r="Q59" s="316"/>
      <c r="R59" s="315">
        <f t="shared" ref="R59" si="100">SUM(R58+S58)</f>
        <v>0</v>
      </c>
      <c r="S59" s="316"/>
      <c r="T59" s="315">
        <f t="shared" ref="T59" si="101">SUM(T58+U58)</f>
        <v>0</v>
      </c>
      <c r="U59" s="316"/>
      <c r="V59" s="315">
        <f t="shared" ref="V59" si="102">SUM(V58+W58)</f>
        <v>0</v>
      </c>
      <c r="W59" s="316"/>
      <c r="X59" s="315">
        <f t="shared" ref="X59" si="103">SUM(X58+Y58)</f>
        <v>0</v>
      </c>
      <c r="Y59" s="316"/>
      <c r="Z59" s="78"/>
      <c r="AA59" s="79"/>
    </row>
    <row r="60" spans="1:27" ht="18" customHeight="1" thickBot="1">
      <c r="A60" s="326" t="s">
        <v>79</v>
      </c>
      <c r="B60" s="317" t="s">
        <v>125</v>
      </c>
      <c r="C60" s="318"/>
      <c r="D60" s="317" t="s">
        <v>114</v>
      </c>
      <c r="E60" s="318"/>
      <c r="F60" s="317" t="s">
        <v>115</v>
      </c>
      <c r="G60" s="318"/>
      <c r="H60" s="317" t="s">
        <v>116</v>
      </c>
      <c r="I60" s="318"/>
      <c r="J60" s="317" t="s">
        <v>117</v>
      </c>
      <c r="K60" s="318"/>
      <c r="L60" s="317" t="s">
        <v>118</v>
      </c>
      <c r="M60" s="318"/>
      <c r="N60" s="317" t="s">
        <v>119</v>
      </c>
      <c r="O60" s="318"/>
      <c r="P60" s="317" t="s">
        <v>120</v>
      </c>
      <c r="Q60" s="318"/>
      <c r="R60" s="317" t="s">
        <v>121</v>
      </c>
      <c r="S60" s="318"/>
      <c r="T60" s="317" t="s">
        <v>122</v>
      </c>
      <c r="U60" s="318"/>
      <c r="V60" s="317" t="s">
        <v>123</v>
      </c>
      <c r="W60" s="318"/>
      <c r="X60" s="317" t="s">
        <v>126</v>
      </c>
      <c r="Y60" s="318"/>
      <c r="Z60" s="54" t="s">
        <v>11</v>
      </c>
      <c r="AA60" s="52" t="s">
        <v>13</v>
      </c>
    </row>
    <row r="61" spans="1:27" ht="18" customHeight="1" thickBot="1">
      <c r="A61" s="327"/>
      <c r="B61" s="56" t="s">
        <v>2</v>
      </c>
      <c r="C61" s="57" t="s">
        <v>3</v>
      </c>
      <c r="D61" s="58" t="s">
        <v>2</v>
      </c>
      <c r="E61" s="59" t="s">
        <v>3</v>
      </c>
      <c r="F61" s="56" t="s">
        <v>2</v>
      </c>
      <c r="G61" s="57" t="s">
        <v>3</v>
      </c>
      <c r="H61" s="58" t="s">
        <v>2</v>
      </c>
      <c r="I61" s="59" t="s">
        <v>3</v>
      </c>
      <c r="J61" s="56" t="s">
        <v>2</v>
      </c>
      <c r="K61" s="57" t="s">
        <v>3</v>
      </c>
      <c r="L61" s="58" t="s">
        <v>2</v>
      </c>
      <c r="M61" s="59" t="s">
        <v>3</v>
      </c>
      <c r="N61" s="56" t="s">
        <v>2</v>
      </c>
      <c r="O61" s="57" t="s">
        <v>3</v>
      </c>
      <c r="P61" s="58" t="s">
        <v>2</v>
      </c>
      <c r="Q61" s="59" t="s">
        <v>3</v>
      </c>
      <c r="R61" s="56" t="s">
        <v>2</v>
      </c>
      <c r="S61" s="57" t="s">
        <v>3</v>
      </c>
      <c r="T61" s="58" t="s">
        <v>2</v>
      </c>
      <c r="U61" s="59" t="s">
        <v>3</v>
      </c>
      <c r="V61" s="58" t="s">
        <v>2</v>
      </c>
      <c r="W61" s="59" t="s">
        <v>3</v>
      </c>
      <c r="X61" s="58" t="s">
        <v>2</v>
      </c>
      <c r="Y61" s="59" t="s">
        <v>3</v>
      </c>
      <c r="Z61" s="53"/>
      <c r="AA61" s="51"/>
    </row>
    <row r="62" spans="1:27" ht="18" customHeight="1">
      <c r="A62" s="75" t="s">
        <v>4</v>
      </c>
      <c r="B62" s="65"/>
      <c r="C62" s="65"/>
      <c r="D62" s="64"/>
      <c r="E62" s="65"/>
      <c r="F62" s="64"/>
      <c r="G62" s="65"/>
      <c r="H62" s="64"/>
      <c r="I62" s="65"/>
      <c r="J62" s="64"/>
      <c r="K62" s="65"/>
      <c r="L62" s="64"/>
      <c r="M62" s="65"/>
      <c r="N62" s="64"/>
      <c r="O62" s="65"/>
      <c r="P62" s="64"/>
      <c r="Q62" s="65"/>
      <c r="R62" s="64"/>
      <c r="S62" s="65"/>
      <c r="T62" s="64"/>
      <c r="U62" s="65"/>
      <c r="V62" s="64"/>
      <c r="W62" s="65"/>
      <c r="X62" s="64"/>
      <c r="Y62" s="65"/>
      <c r="Z62" s="7">
        <f>SUM(B62:Y62)</f>
        <v>0</v>
      </c>
      <c r="AA62" s="10"/>
    </row>
    <row r="63" spans="1:27" ht="18" customHeight="1" thickBot="1">
      <c r="A63" s="76" t="s">
        <v>37</v>
      </c>
      <c r="B63" s="67"/>
      <c r="C63" s="67"/>
      <c r="D63" s="66"/>
      <c r="E63" s="67"/>
      <c r="F63" s="66"/>
      <c r="G63" s="67"/>
      <c r="H63" s="66"/>
      <c r="I63" s="67"/>
      <c r="J63" s="66"/>
      <c r="K63" s="67"/>
      <c r="L63" s="66"/>
      <c r="M63" s="67"/>
      <c r="N63" s="66"/>
      <c r="O63" s="67"/>
      <c r="P63" s="66"/>
      <c r="Q63" s="67"/>
      <c r="R63" s="66"/>
      <c r="S63" s="67"/>
      <c r="T63" s="66"/>
      <c r="U63" s="67"/>
      <c r="V63" s="66"/>
      <c r="W63" s="67"/>
      <c r="X63" s="66"/>
      <c r="Y63" s="67"/>
      <c r="Z63" s="11">
        <f>SUM(B63:Y63)</f>
        <v>0</v>
      </c>
      <c r="AA63" s="9">
        <f>SUM(Z62:Z63)</f>
        <v>0</v>
      </c>
    </row>
    <row r="64" spans="1:27" ht="18" customHeight="1">
      <c r="A64" s="77" t="s">
        <v>34</v>
      </c>
      <c r="B64" s="73"/>
      <c r="C64" s="64"/>
      <c r="D64" s="64"/>
      <c r="E64" s="65"/>
      <c r="F64" s="64"/>
      <c r="G64" s="65"/>
      <c r="H64" s="64"/>
      <c r="I64" s="65"/>
      <c r="J64" s="64"/>
      <c r="K64" s="65"/>
      <c r="L64" s="64"/>
      <c r="M64" s="65"/>
      <c r="N64" s="64"/>
      <c r="O64" s="65"/>
      <c r="P64" s="64"/>
      <c r="Q64" s="65"/>
      <c r="R64" s="64"/>
      <c r="S64" s="65"/>
      <c r="T64" s="64"/>
      <c r="U64" s="65"/>
      <c r="V64" s="64"/>
      <c r="W64" s="65"/>
      <c r="X64" s="64"/>
      <c r="Y64" s="65"/>
      <c r="Z64" s="13">
        <f>SUM(B64:Y64)</f>
        <v>0</v>
      </c>
      <c r="AA64" s="5"/>
    </row>
    <row r="65" spans="1:27" ht="18" customHeight="1" thickBot="1">
      <c r="A65" s="28" t="s">
        <v>0</v>
      </c>
      <c r="B65" s="74"/>
      <c r="C65" s="66"/>
      <c r="D65" s="66"/>
      <c r="E65" s="67"/>
      <c r="F65" s="66"/>
      <c r="G65" s="67"/>
      <c r="H65" s="66"/>
      <c r="I65" s="67"/>
      <c r="J65" s="66"/>
      <c r="K65" s="67"/>
      <c r="L65" s="66"/>
      <c r="M65" s="67"/>
      <c r="N65" s="66"/>
      <c r="O65" s="67"/>
      <c r="P65" s="66"/>
      <c r="Q65" s="67"/>
      <c r="R65" s="66"/>
      <c r="S65" s="67"/>
      <c r="T65" s="66"/>
      <c r="U65" s="67"/>
      <c r="V65" s="66"/>
      <c r="W65" s="67"/>
      <c r="X65" s="66"/>
      <c r="Y65" s="67"/>
      <c r="Z65" s="8">
        <f>SUM(B65:Y65)</f>
        <v>0</v>
      </c>
      <c r="AA65" s="18"/>
    </row>
    <row r="66" spans="1:27" ht="18" customHeight="1">
      <c r="A66" s="28" t="s">
        <v>35</v>
      </c>
      <c r="B66" s="7">
        <v>0</v>
      </c>
      <c r="C66" s="7">
        <v>0</v>
      </c>
      <c r="D66" s="7">
        <v>0</v>
      </c>
      <c r="E66" s="7">
        <v>0</v>
      </c>
      <c r="F66" s="7">
        <f>SUM(B64-B65)</f>
        <v>0</v>
      </c>
      <c r="G66" s="7">
        <f t="shared" ref="G66:U66" si="104">SUM(C64-C65)</f>
        <v>0</v>
      </c>
      <c r="H66" s="7">
        <f t="shared" si="104"/>
        <v>0</v>
      </c>
      <c r="I66" s="7">
        <f t="shared" si="104"/>
        <v>0</v>
      </c>
      <c r="J66" s="7">
        <f t="shared" si="104"/>
        <v>0</v>
      </c>
      <c r="K66" s="7">
        <f t="shared" si="104"/>
        <v>0</v>
      </c>
      <c r="L66" s="7">
        <f t="shared" si="104"/>
        <v>0</v>
      </c>
      <c r="M66" s="7">
        <f t="shared" si="104"/>
        <v>0</v>
      </c>
      <c r="N66" s="7">
        <f t="shared" si="104"/>
        <v>0</v>
      </c>
      <c r="O66" s="7">
        <f t="shared" si="104"/>
        <v>0</v>
      </c>
      <c r="P66" s="7">
        <f t="shared" si="104"/>
        <v>0</v>
      </c>
      <c r="Q66" s="7">
        <f t="shared" si="104"/>
        <v>0</v>
      </c>
      <c r="R66" s="7">
        <f t="shared" si="104"/>
        <v>0</v>
      </c>
      <c r="S66" s="7">
        <f t="shared" si="104"/>
        <v>0</v>
      </c>
      <c r="T66" s="7">
        <f t="shared" si="104"/>
        <v>0</v>
      </c>
      <c r="U66" s="7">
        <f t="shared" si="104"/>
        <v>0</v>
      </c>
      <c r="V66" s="7">
        <f t="shared" ref="V66" si="105">SUM(R64-R65)</f>
        <v>0</v>
      </c>
      <c r="W66" s="7">
        <f t="shared" ref="W66" si="106">SUM(S64-S65)</f>
        <v>0</v>
      </c>
      <c r="X66" s="7">
        <f t="shared" ref="X66" si="107">SUM(T64-T65)</f>
        <v>0</v>
      </c>
      <c r="Y66" s="7">
        <f t="shared" ref="Y66" si="108">SUM(U64-U65)</f>
        <v>0</v>
      </c>
      <c r="Z66" s="8">
        <f>SUM(B66:Y66)</f>
        <v>0</v>
      </c>
      <c r="AA66" s="18">
        <f>SUM(Z65:Z66)</f>
        <v>0</v>
      </c>
    </row>
    <row r="67" spans="1:27" ht="17.25" customHeight="1" thickBot="1">
      <c r="A67" s="29" t="s">
        <v>39</v>
      </c>
      <c r="B67" s="325">
        <f>SUM(B66+C66)</f>
        <v>0</v>
      </c>
      <c r="C67" s="316"/>
      <c r="D67" s="315">
        <f t="shared" ref="D67" si="109">SUM(D66+E66)</f>
        <v>0</v>
      </c>
      <c r="E67" s="316"/>
      <c r="F67" s="315">
        <f t="shared" ref="F67" si="110">SUM(F66+G66)</f>
        <v>0</v>
      </c>
      <c r="G67" s="316"/>
      <c r="H67" s="315">
        <f t="shared" ref="H67" si="111">SUM(H66+I66)</f>
        <v>0</v>
      </c>
      <c r="I67" s="316"/>
      <c r="J67" s="315">
        <f t="shared" ref="J67" si="112">SUM(J66+K66)</f>
        <v>0</v>
      </c>
      <c r="K67" s="316"/>
      <c r="L67" s="315">
        <f t="shared" ref="L67" si="113">SUM(L66+M66)</f>
        <v>0</v>
      </c>
      <c r="M67" s="316"/>
      <c r="N67" s="315">
        <f t="shared" ref="N67" si="114">SUM(N66+O66)</f>
        <v>0</v>
      </c>
      <c r="O67" s="316"/>
      <c r="P67" s="315">
        <f t="shared" ref="P67" si="115">SUM(P66+Q66)</f>
        <v>0</v>
      </c>
      <c r="Q67" s="316"/>
      <c r="R67" s="315">
        <f t="shared" ref="R67" si="116">SUM(R66+S66)</f>
        <v>0</v>
      </c>
      <c r="S67" s="316"/>
      <c r="T67" s="315">
        <f t="shared" ref="T67" si="117">SUM(T66+U66)</f>
        <v>0</v>
      </c>
      <c r="U67" s="316"/>
      <c r="V67" s="315">
        <f t="shared" ref="V67" si="118">SUM(V66+W66)</f>
        <v>0</v>
      </c>
      <c r="W67" s="316"/>
      <c r="X67" s="315">
        <f t="shared" ref="X67" si="119">SUM(X66+Y66)</f>
        <v>0</v>
      </c>
      <c r="Y67" s="316"/>
      <c r="Z67" s="78"/>
      <c r="AA67" s="79"/>
    </row>
    <row r="68" spans="1:27" ht="18" customHeight="1" thickBot="1">
      <c r="A68" s="326" t="s">
        <v>78</v>
      </c>
      <c r="B68" s="317" t="s">
        <v>125</v>
      </c>
      <c r="C68" s="318"/>
      <c r="D68" s="317" t="s">
        <v>114</v>
      </c>
      <c r="E68" s="318"/>
      <c r="F68" s="317" t="s">
        <v>115</v>
      </c>
      <c r="G68" s="318"/>
      <c r="H68" s="317" t="s">
        <v>116</v>
      </c>
      <c r="I68" s="318"/>
      <c r="J68" s="317" t="s">
        <v>117</v>
      </c>
      <c r="K68" s="318"/>
      <c r="L68" s="317" t="s">
        <v>118</v>
      </c>
      <c r="M68" s="318"/>
      <c r="N68" s="317" t="s">
        <v>119</v>
      </c>
      <c r="O68" s="318"/>
      <c r="P68" s="317" t="s">
        <v>120</v>
      </c>
      <c r="Q68" s="318"/>
      <c r="R68" s="317" t="s">
        <v>121</v>
      </c>
      <c r="S68" s="318"/>
      <c r="T68" s="317" t="s">
        <v>122</v>
      </c>
      <c r="U68" s="318"/>
      <c r="V68" s="317" t="s">
        <v>123</v>
      </c>
      <c r="W68" s="318"/>
      <c r="X68" s="317" t="s">
        <v>126</v>
      </c>
      <c r="Y68" s="318"/>
      <c r="Z68" s="54" t="s">
        <v>11</v>
      </c>
      <c r="AA68" s="52" t="s">
        <v>13</v>
      </c>
    </row>
    <row r="69" spans="1:27" ht="18" customHeight="1" thickBot="1">
      <c r="A69" s="327"/>
      <c r="B69" s="56" t="s">
        <v>2</v>
      </c>
      <c r="C69" s="57" t="s">
        <v>3</v>
      </c>
      <c r="D69" s="58" t="s">
        <v>2</v>
      </c>
      <c r="E69" s="59" t="s">
        <v>3</v>
      </c>
      <c r="F69" s="56" t="s">
        <v>2</v>
      </c>
      <c r="G69" s="57" t="s">
        <v>3</v>
      </c>
      <c r="H69" s="58" t="s">
        <v>2</v>
      </c>
      <c r="I69" s="59" t="s">
        <v>3</v>
      </c>
      <c r="J69" s="56" t="s">
        <v>2</v>
      </c>
      <c r="K69" s="57" t="s">
        <v>3</v>
      </c>
      <c r="L69" s="58" t="s">
        <v>2</v>
      </c>
      <c r="M69" s="59" t="s">
        <v>3</v>
      </c>
      <c r="N69" s="56" t="s">
        <v>2</v>
      </c>
      <c r="O69" s="57" t="s">
        <v>3</v>
      </c>
      <c r="P69" s="58" t="s">
        <v>2</v>
      </c>
      <c r="Q69" s="59" t="s">
        <v>3</v>
      </c>
      <c r="R69" s="56" t="s">
        <v>2</v>
      </c>
      <c r="S69" s="57" t="s">
        <v>3</v>
      </c>
      <c r="T69" s="58" t="s">
        <v>2</v>
      </c>
      <c r="U69" s="59" t="s">
        <v>3</v>
      </c>
      <c r="V69" s="58" t="s">
        <v>2</v>
      </c>
      <c r="W69" s="59" t="s">
        <v>3</v>
      </c>
      <c r="X69" s="58" t="s">
        <v>2</v>
      </c>
      <c r="Y69" s="59" t="s">
        <v>3</v>
      </c>
      <c r="Z69" s="53"/>
      <c r="AA69" s="51"/>
    </row>
    <row r="70" spans="1:27" ht="18" customHeight="1">
      <c r="A70" s="75" t="s">
        <v>4</v>
      </c>
      <c r="B70" s="65"/>
      <c r="C70" s="65"/>
      <c r="D70" s="64"/>
      <c r="E70" s="65"/>
      <c r="F70" s="64"/>
      <c r="G70" s="65"/>
      <c r="H70" s="64"/>
      <c r="I70" s="65"/>
      <c r="J70" s="64"/>
      <c r="K70" s="65"/>
      <c r="L70" s="64"/>
      <c r="M70" s="65"/>
      <c r="N70" s="64"/>
      <c r="O70" s="65"/>
      <c r="P70" s="64"/>
      <c r="Q70" s="65"/>
      <c r="R70" s="64"/>
      <c r="S70" s="65"/>
      <c r="T70" s="64"/>
      <c r="U70" s="65"/>
      <c r="V70" s="64"/>
      <c r="W70" s="65"/>
      <c r="X70" s="64"/>
      <c r="Y70" s="65"/>
      <c r="Z70" s="7">
        <f>SUM(B70:Y70)</f>
        <v>0</v>
      </c>
      <c r="AA70" s="10"/>
    </row>
    <row r="71" spans="1:27" ht="18" customHeight="1" thickBot="1">
      <c r="A71" s="76" t="s">
        <v>37</v>
      </c>
      <c r="B71" s="67"/>
      <c r="C71" s="67"/>
      <c r="D71" s="66"/>
      <c r="E71" s="67"/>
      <c r="F71" s="66"/>
      <c r="G71" s="67"/>
      <c r="H71" s="66"/>
      <c r="I71" s="67"/>
      <c r="J71" s="66"/>
      <c r="K71" s="67"/>
      <c r="L71" s="66"/>
      <c r="M71" s="67"/>
      <c r="N71" s="66"/>
      <c r="O71" s="67"/>
      <c r="P71" s="66"/>
      <c r="Q71" s="67"/>
      <c r="R71" s="66"/>
      <c r="S71" s="67"/>
      <c r="T71" s="66"/>
      <c r="U71" s="67"/>
      <c r="V71" s="66"/>
      <c r="W71" s="67"/>
      <c r="X71" s="66"/>
      <c r="Y71" s="67"/>
      <c r="Z71" s="11">
        <f>SUM(B71:Y71)</f>
        <v>0</v>
      </c>
      <c r="AA71" s="9">
        <f>SUM(Z70:Z71)</f>
        <v>0</v>
      </c>
    </row>
    <row r="72" spans="1:27" ht="18" customHeight="1">
      <c r="A72" s="77" t="s">
        <v>34</v>
      </c>
      <c r="B72" s="73"/>
      <c r="C72" s="64"/>
      <c r="D72" s="64"/>
      <c r="E72" s="65"/>
      <c r="F72" s="64"/>
      <c r="G72" s="65"/>
      <c r="H72" s="64"/>
      <c r="I72" s="65"/>
      <c r="J72" s="64"/>
      <c r="K72" s="65"/>
      <c r="L72" s="64"/>
      <c r="M72" s="65"/>
      <c r="N72" s="64"/>
      <c r="O72" s="65"/>
      <c r="P72" s="64"/>
      <c r="Q72" s="65"/>
      <c r="R72" s="64"/>
      <c r="S72" s="65"/>
      <c r="T72" s="64"/>
      <c r="U72" s="65"/>
      <c r="V72" s="64"/>
      <c r="W72" s="65"/>
      <c r="X72" s="64"/>
      <c r="Y72" s="65"/>
      <c r="Z72" s="13">
        <f>SUM(B72:Y72)</f>
        <v>0</v>
      </c>
      <c r="AA72" s="5"/>
    </row>
    <row r="73" spans="1:27" ht="18" customHeight="1" thickBot="1">
      <c r="A73" s="28" t="s">
        <v>0</v>
      </c>
      <c r="B73" s="74"/>
      <c r="C73" s="66"/>
      <c r="D73" s="66"/>
      <c r="E73" s="67"/>
      <c r="F73" s="66"/>
      <c r="G73" s="67"/>
      <c r="H73" s="66"/>
      <c r="I73" s="67"/>
      <c r="J73" s="66"/>
      <c r="K73" s="67"/>
      <c r="L73" s="66"/>
      <c r="M73" s="67"/>
      <c r="N73" s="66"/>
      <c r="O73" s="67"/>
      <c r="P73" s="66"/>
      <c r="Q73" s="67"/>
      <c r="R73" s="66"/>
      <c r="S73" s="67"/>
      <c r="T73" s="66"/>
      <c r="U73" s="67"/>
      <c r="V73" s="66"/>
      <c r="W73" s="67"/>
      <c r="X73" s="66"/>
      <c r="Y73" s="67"/>
      <c r="Z73" s="8">
        <f>SUM(B73:Y73)</f>
        <v>0</v>
      </c>
      <c r="AA73" s="18"/>
    </row>
    <row r="74" spans="1:27" ht="18" customHeight="1">
      <c r="A74" s="28" t="s">
        <v>35</v>
      </c>
      <c r="B74" s="7">
        <v>0</v>
      </c>
      <c r="C74" s="7">
        <v>0</v>
      </c>
      <c r="D74" s="7">
        <v>0</v>
      </c>
      <c r="E74" s="7">
        <v>0</v>
      </c>
      <c r="F74" s="7">
        <f>SUM(B72-B73)</f>
        <v>0</v>
      </c>
      <c r="G74" s="7">
        <f t="shared" ref="G74:U74" si="120">SUM(C72-C73)</f>
        <v>0</v>
      </c>
      <c r="H74" s="7">
        <f t="shared" si="120"/>
        <v>0</v>
      </c>
      <c r="I74" s="7">
        <f t="shared" si="120"/>
        <v>0</v>
      </c>
      <c r="J74" s="7">
        <f t="shared" si="120"/>
        <v>0</v>
      </c>
      <c r="K74" s="7">
        <f t="shared" si="120"/>
        <v>0</v>
      </c>
      <c r="L74" s="7">
        <f t="shared" si="120"/>
        <v>0</v>
      </c>
      <c r="M74" s="7">
        <f t="shared" si="120"/>
        <v>0</v>
      </c>
      <c r="N74" s="7">
        <f t="shared" si="120"/>
        <v>0</v>
      </c>
      <c r="O74" s="7">
        <f t="shared" si="120"/>
        <v>0</v>
      </c>
      <c r="P74" s="7">
        <f t="shared" si="120"/>
        <v>0</v>
      </c>
      <c r="Q74" s="7">
        <f t="shared" si="120"/>
        <v>0</v>
      </c>
      <c r="R74" s="7">
        <f t="shared" si="120"/>
        <v>0</v>
      </c>
      <c r="S74" s="7">
        <f t="shared" si="120"/>
        <v>0</v>
      </c>
      <c r="T74" s="7">
        <f t="shared" si="120"/>
        <v>0</v>
      </c>
      <c r="U74" s="7">
        <f t="shared" si="120"/>
        <v>0</v>
      </c>
      <c r="V74" s="7">
        <f t="shared" ref="V74" si="121">SUM(R72-R73)</f>
        <v>0</v>
      </c>
      <c r="W74" s="7">
        <f t="shared" ref="W74" si="122">SUM(S72-S73)</f>
        <v>0</v>
      </c>
      <c r="X74" s="7">
        <f t="shared" ref="X74" si="123">SUM(T72-T73)</f>
        <v>0</v>
      </c>
      <c r="Y74" s="7">
        <f t="shared" ref="Y74" si="124">SUM(U72-U73)</f>
        <v>0</v>
      </c>
      <c r="Z74" s="8">
        <f>SUM(B74:Y74)</f>
        <v>0</v>
      </c>
      <c r="AA74" s="18">
        <f>SUM(Z73:Z74)</f>
        <v>0</v>
      </c>
    </row>
    <row r="75" spans="1:27" ht="17.25" customHeight="1" thickBot="1">
      <c r="A75" s="29" t="s">
        <v>39</v>
      </c>
      <c r="B75" s="325">
        <f>SUM(B74+C74)</f>
        <v>0</v>
      </c>
      <c r="C75" s="316"/>
      <c r="D75" s="315">
        <f t="shared" ref="D75" si="125">SUM(D74+E74)</f>
        <v>0</v>
      </c>
      <c r="E75" s="316"/>
      <c r="F75" s="315">
        <f t="shared" ref="F75" si="126">SUM(F74+G74)</f>
        <v>0</v>
      </c>
      <c r="G75" s="316"/>
      <c r="H75" s="315">
        <f t="shared" ref="H75" si="127">SUM(H74+I74)</f>
        <v>0</v>
      </c>
      <c r="I75" s="316"/>
      <c r="J75" s="315">
        <f t="shared" ref="J75" si="128">SUM(J74+K74)</f>
        <v>0</v>
      </c>
      <c r="K75" s="316"/>
      <c r="L75" s="315">
        <f t="shared" ref="L75" si="129">SUM(L74+M74)</f>
        <v>0</v>
      </c>
      <c r="M75" s="316"/>
      <c r="N75" s="315">
        <f t="shared" ref="N75" si="130">SUM(N74+O74)</f>
        <v>0</v>
      </c>
      <c r="O75" s="316"/>
      <c r="P75" s="315">
        <f t="shared" ref="P75" si="131">SUM(P74+Q74)</f>
        <v>0</v>
      </c>
      <c r="Q75" s="316"/>
      <c r="R75" s="315">
        <f t="shared" ref="R75" si="132">SUM(R74+S74)</f>
        <v>0</v>
      </c>
      <c r="S75" s="316"/>
      <c r="T75" s="315">
        <f t="shared" ref="T75" si="133">SUM(T74+U74)</f>
        <v>0</v>
      </c>
      <c r="U75" s="316"/>
      <c r="V75" s="315">
        <f t="shared" ref="V75" si="134">SUM(V74+W74)</f>
        <v>0</v>
      </c>
      <c r="W75" s="316"/>
      <c r="X75" s="315">
        <f t="shared" ref="X75" si="135">SUM(X74+Y74)</f>
        <v>0</v>
      </c>
      <c r="Y75" s="316"/>
      <c r="Z75" s="78"/>
      <c r="AA75" s="79"/>
    </row>
    <row r="76" spans="1:27" ht="18" customHeight="1" thickBot="1">
      <c r="A76" s="326" t="s">
        <v>77</v>
      </c>
      <c r="B76" s="317" t="s">
        <v>125</v>
      </c>
      <c r="C76" s="318"/>
      <c r="D76" s="317" t="s">
        <v>114</v>
      </c>
      <c r="E76" s="318"/>
      <c r="F76" s="317" t="s">
        <v>115</v>
      </c>
      <c r="G76" s="318"/>
      <c r="H76" s="317" t="s">
        <v>116</v>
      </c>
      <c r="I76" s="318"/>
      <c r="J76" s="317" t="s">
        <v>117</v>
      </c>
      <c r="K76" s="318"/>
      <c r="L76" s="317" t="s">
        <v>118</v>
      </c>
      <c r="M76" s="318"/>
      <c r="N76" s="317" t="s">
        <v>119</v>
      </c>
      <c r="O76" s="318"/>
      <c r="P76" s="317" t="s">
        <v>120</v>
      </c>
      <c r="Q76" s="318"/>
      <c r="R76" s="317" t="s">
        <v>121</v>
      </c>
      <c r="S76" s="318"/>
      <c r="T76" s="317" t="s">
        <v>122</v>
      </c>
      <c r="U76" s="318"/>
      <c r="V76" s="317" t="s">
        <v>123</v>
      </c>
      <c r="W76" s="318"/>
      <c r="X76" s="317" t="s">
        <v>126</v>
      </c>
      <c r="Y76" s="318"/>
      <c r="Z76" s="54" t="s">
        <v>11</v>
      </c>
      <c r="AA76" s="52" t="s">
        <v>13</v>
      </c>
    </row>
    <row r="77" spans="1:27" ht="18" customHeight="1" thickBot="1">
      <c r="A77" s="327"/>
      <c r="B77" s="56" t="s">
        <v>2</v>
      </c>
      <c r="C77" s="57" t="s">
        <v>3</v>
      </c>
      <c r="D77" s="58" t="s">
        <v>2</v>
      </c>
      <c r="E77" s="59" t="s">
        <v>3</v>
      </c>
      <c r="F77" s="56" t="s">
        <v>2</v>
      </c>
      <c r="G77" s="57" t="s">
        <v>3</v>
      </c>
      <c r="H77" s="58" t="s">
        <v>2</v>
      </c>
      <c r="I77" s="59" t="s">
        <v>3</v>
      </c>
      <c r="J77" s="56" t="s">
        <v>2</v>
      </c>
      <c r="K77" s="57" t="s">
        <v>3</v>
      </c>
      <c r="L77" s="58" t="s">
        <v>2</v>
      </c>
      <c r="M77" s="59" t="s">
        <v>3</v>
      </c>
      <c r="N77" s="56" t="s">
        <v>2</v>
      </c>
      <c r="O77" s="57" t="s">
        <v>3</v>
      </c>
      <c r="P77" s="58" t="s">
        <v>2</v>
      </c>
      <c r="Q77" s="59" t="s">
        <v>3</v>
      </c>
      <c r="R77" s="56" t="s">
        <v>2</v>
      </c>
      <c r="S77" s="57" t="s">
        <v>3</v>
      </c>
      <c r="T77" s="58" t="s">
        <v>2</v>
      </c>
      <c r="U77" s="59" t="s">
        <v>3</v>
      </c>
      <c r="V77" s="58" t="s">
        <v>2</v>
      </c>
      <c r="W77" s="59" t="s">
        <v>3</v>
      </c>
      <c r="X77" s="58" t="s">
        <v>2</v>
      </c>
      <c r="Y77" s="59" t="s">
        <v>3</v>
      </c>
      <c r="Z77" s="53"/>
      <c r="AA77" s="51"/>
    </row>
    <row r="78" spans="1:27" ht="18" customHeight="1">
      <c r="A78" s="75" t="s">
        <v>4</v>
      </c>
      <c r="B78" s="65"/>
      <c r="C78" s="65"/>
      <c r="D78" s="64"/>
      <c r="E78" s="65"/>
      <c r="F78" s="64"/>
      <c r="G78" s="65"/>
      <c r="H78" s="64"/>
      <c r="I78" s="65"/>
      <c r="J78" s="64"/>
      <c r="K78" s="65"/>
      <c r="L78" s="64"/>
      <c r="M78" s="65"/>
      <c r="N78" s="64"/>
      <c r="O78" s="65"/>
      <c r="P78" s="64"/>
      <c r="Q78" s="65"/>
      <c r="R78" s="64"/>
      <c r="S78" s="65"/>
      <c r="T78" s="64"/>
      <c r="U78" s="65"/>
      <c r="V78" s="64"/>
      <c r="W78" s="65"/>
      <c r="X78" s="64"/>
      <c r="Y78" s="65"/>
      <c r="Z78" s="7">
        <f>SUM(B78:Y78)</f>
        <v>0</v>
      </c>
      <c r="AA78" s="10"/>
    </row>
    <row r="79" spans="1:27" ht="18" customHeight="1" thickBot="1">
      <c r="A79" s="76" t="s">
        <v>37</v>
      </c>
      <c r="B79" s="67"/>
      <c r="C79" s="67"/>
      <c r="D79" s="66"/>
      <c r="E79" s="67"/>
      <c r="F79" s="66"/>
      <c r="G79" s="67"/>
      <c r="H79" s="66"/>
      <c r="I79" s="67"/>
      <c r="J79" s="66"/>
      <c r="K79" s="67"/>
      <c r="L79" s="66"/>
      <c r="M79" s="67"/>
      <c r="N79" s="66"/>
      <c r="O79" s="67"/>
      <c r="P79" s="66"/>
      <c r="Q79" s="67"/>
      <c r="R79" s="66"/>
      <c r="S79" s="67"/>
      <c r="T79" s="66"/>
      <c r="U79" s="67"/>
      <c r="V79" s="66"/>
      <c r="W79" s="67"/>
      <c r="X79" s="66"/>
      <c r="Y79" s="67"/>
      <c r="Z79" s="11">
        <f>SUM(B79:Y79)</f>
        <v>0</v>
      </c>
      <c r="AA79" s="9">
        <f>SUM(Z78:Z79)</f>
        <v>0</v>
      </c>
    </row>
    <row r="80" spans="1:27" ht="18" customHeight="1">
      <c r="A80" s="77" t="s">
        <v>34</v>
      </c>
      <c r="B80" s="73"/>
      <c r="C80" s="64"/>
      <c r="D80" s="64"/>
      <c r="E80" s="65"/>
      <c r="F80" s="64"/>
      <c r="G80" s="65"/>
      <c r="H80" s="64"/>
      <c r="I80" s="65"/>
      <c r="J80" s="64"/>
      <c r="K80" s="65"/>
      <c r="L80" s="64"/>
      <c r="M80" s="65"/>
      <c r="N80" s="64"/>
      <c r="O80" s="65"/>
      <c r="P80" s="64"/>
      <c r="Q80" s="65"/>
      <c r="R80" s="64"/>
      <c r="S80" s="65"/>
      <c r="T80" s="64"/>
      <c r="U80" s="65"/>
      <c r="V80" s="64"/>
      <c r="W80" s="65"/>
      <c r="X80" s="64"/>
      <c r="Y80" s="65"/>
      <c r="Z80" s="13">
        <f>SUM(B80:Y80)</f>
        <v>0</v>
      </c>
      <c r="AA80" s="5"/>
    </row>
    <row r="81" spans="1:27" ht="18" customHeight="1" thickBot="1">
      <c r="A81" s="28" t="s">
        <v>0</v>
      </c>
      <c r="B81" s="74"/>
      <c r="C81" s="66"/>
      <c r="D81" s="66"/>
      <c r="E81" s="67"/>
      <c r="F81" s="66"/>
      <c r="G81" s="67"/>
      <c r="H81" s="66"/>
      <c r="I81" s="67"/>
      <c r="J81" s="66"/>
      <c r="K81" s="67"/>
      <c r="L81" s="66"/>
      <c r="M81" s="67"/>
      <c r="N81" s="66"/>
      <c r="O81" s="67"/>
      <c r="P81" s="66"/>
      <c r="Q81" s="67"/>
      <c r="R81" s="66"/>
      <c r="S81" s="67"/>
      <c r="T81" s="66"/>
      <c r="U81" s="67"/>
      <c r="V81" s="66"/>
      <c r="W81" s="67"/>
      <c r="X81" s="66"/>
      <c r="Y81" s="67"/>
      <c r="Z81" s="8">
        <f>SUM(B81:Y81)</f>
        <v>0</v>
      </c>
      <c r="AA81" s="18"/>
    </row>
    <row r="82" spans="1:27" ht="18" customHeight="1">
      <c r="A82" s="28" t="s">
        <v>35</v>
      </c>
      <c r="B82" s="7">
        <v>0</v>
      </c>
      <c r="C82" s="7">
        <v>0</v>
      </c>
      <c r="D82" s="7">
        <v>0</v>
      </c>
      <c r="E82" s="7">
        <v>0</v>
      </c>
      <c r="F82" s="7">
        <f>SUM(B80-B81)</f>
        <v>0</v>
      </c>
      <c r="G82" s="7">
        <f t="shared" ref="G82:U82" si="136">SUM(C80-C81)</f>
        <v>0</v>
      </c>
      <c r="H82" s="7">
        <f t="shared" si="136"/>
        <v>0</v>
      </c>
      <c r="I82" s="7">
        <f t="shared" si="136"/>
        <v>0</v>
      </c>
      <c r="J82" s="7">
        <f t="shared" si="136"/>
        <v>0</v>
      </c>
      <c r="K82" s="7">
        <f t="shared" si="136"/>
        <v>0</v>
      </c>
      <c r="L82" s="7">
        <f t="shared" si="136"/>
        <v>0</v>
      </c>
      <c r="M82" s="7">
        <f t="shared" si="136"/>
        <v>0</v>
      </c>
      <c r="N82" s="7">
        <f t="shared" si="136"/>
        <v>0</v>
      </c>
      <c r="O82" s="7">
        <f t="shared" si="136"/>
        <v>0</v>
      </c>
      <c r="P82" s="7">
        <f t="shared" si="136"/>
        <v>0</v>
      </c>
      <c r="Q82" s="7">
        <f t="shared" si="136"/>
        <v>0</v>
      </c>
      <c r="R82" s="7">
        <f t="shared" si="136"/>
        <v>0</v>
      </c>
      <c r="S82" s="7">
        <f t="shared" si="136"/>
        <v>0</v>
      </c>
      <c r="T82" s="7">
        <f t="shared" si="136"/>
        <v>0</v>
      </c>
      <c r="U82" s="7">
        <f t="shared" si="136"/>
        <v>0</v>
      </c>
      <c r="V82" s="7">
        <f t="shared" ref="V82" si="137">SUM(R80-R81)</f>
        <v>0</v>
      </c>
      <c r="W82" s="7">
        <f t="shared" ref="W82" si="138">SUM(S80-S81)</f>
        <v>0</v>
      </c>
      <c r="X82" s="7">
        <f t="shared" ref="X82" si="139">SUM(T80-T81)</f>
        <v>0</v>
      </c>
      <c r="Y82" s="7">
        <f t="shared" ref="Y82" si="140">SUM(U80-U81)</f>
        <v>0</v>
      </c>
      <c r="Z82" s="8">
        <f>SUM(B82:Y82)</f>
        <v>0</v>
      </c>
      <c r="AA82" s="18">
        <f>SUM(Z81:Z82)</f>
        <v>0</v>
      </c>
    </row>
    <row r="83" spans="1:27" ht="17.25" customHeight="1" thickBot="1">
      <c r="A83" s="29" t="s">
        <v>39</v>
      </c>
      <c r="B83" s="325">
        <f>SUM(B82+C82)</f>
        <v>0</v>
      </c>
      <c r="C83" s="316"/>
      <c r="D83" s="315">
        <f t="shared" ref="D83" si="141">SUM(D82+E82)</f>
        <v>0</v>
      </c>
      <c r="E83" s="316"/>
      <c r="F83" s="315">
        <f t="shared" ref="F83" si="142">SUM(F82+G82)</f>
        <v>0</v>
      </c>
      <c r="G83" s="316"/>
      <c r="H83" s="315">
        <f t="shared" ref="H83" si="143">SUM(H82+I82)</f>
        <v>0</v>
      </c>
      <c r="I83" s="316"/>
      <c r="J83" s="315">
        <f t="shared" ref="J83" si="144">SUM(J82+K82)</f>
        <v>0</v>
      </c>
      <c r="K83" s="316"/>
      <c r="L83" s="315">
        <f t="shared" ref="L83" si="145">SUM(L82+M82)</f>
        <v>0</v>
      </c>
      <c r="M83" s="316"/>
      <c r="N83" s="315">
        <f t="shared" ref="N83" si="146">SUM(N82+O82)</f>
        <v>0</v>
      </c>
      <c r="O83" s="316"/>
      <c r="P83" s="315">
        <f t="shared" ref="P83" si="147">SUM(P82+Q82)</f>
        <v>0</v>
      </c>
      <c r="Q83" s="316"/>
      <c r="R83" s="315">
        <f t="shared" ref="R83" si="148">SUM(R82+S82)</f>
        <v>0</v>
      </c>
      <c r="S83" s="316"/>
      <c r="T83" s="315">
        <f t="shared" ref="T83" si="149">SUM(T82+U82)</f>
        <v>0</v>
      </c>
      <c r="U83" s="316"/>
      <c r="V83" s="315">
        <f t="shared" ref="V83" si="150">SUM(V82+W82)</f>
        <v>0</v>
      </c>
      <c r="W83" s="316"/>
      <c r="X83" s="315">
        <f t="shared" ref="X83" si="151">SUM(X82+Y82)</f>
        <v>0</v>
      </c>
      <c r="Y83" s="316"/>
      <c r="Z83" s="78"/>
      <c r="AA83" s="79"/>
    </row>
    <row r="84" spans="1:27" ht="18" customHeight="1" thickBot="1">
      <c r="A84" s="326" t="s">
        <v>76</v>
      </c>
      <c r="B84" s="317" t="s">
        <v>125</v>
      </c>
      <c r="C84" s="318"/>
      <c r="D84" s="317" t="s">
        <v>114</v>
      </c>
      <c r="E84" s="318"/>
      <c r="F84" s="317" t="s">
        <v>115</v>
      </c>
      <c r="G84" s="318"/>
      <c r="H84" s="317" t="s">
        <v>116</v>
      </c>
      <c r="I84" s="318"/>
      <c r="J84" s="317" t="s">
        <v>117</v>
      </c>
      <c r="K84" s="318"/>
      <c r="L84" s="317" t="s">
        <v>118</v>
      </c>
      <c r="M84" s="318"/>
      <c r="N84" s="317" t="s">
        <v>119</v>
      </c>
      <c r="O84" s="318"/>
      <c r="P84" s="317" t="s">
        <v>120</v>
      </c>
      <c r="Q84" s="318"/>
      <c r="R84" s="317" t="s">
        <v>121</v>
      </c>
      <c r="S84" s="318"/>
      <c r="T84" s="317" t="s">
        <v>122</v>
      </c>
      <c r="U84" s="318"/>
      <c r="V84" s="317" t="s">
        <v>123</v>
      </c>
      <c r="W84" s="318"/>
      <c r="X84" s="317" t="s">
        <v>126</v>
      </c>
      <c r="Y84" s="318"/>
      <c r="Z84" s="54" t="s">
        <v>11</v>
      </c>
      <c r="AA84" s="52" t="s">
        <v>13</v>
      </c>
    </row>
    <row r="85" spans="1:27" ht="18" customHeight="1" thickBot="1">
      <c r="A85" s="327"/>
      <c r="B85" s="56" t="s">
        <v>2</v>
      </c>
      <c r="C85" s="57" t="s">
        <v>3</v>
      </c>
      <c r="D85" s="58" t="s">
        <v>2</v>
      </c>
      <c r="E85" s="59" t="s">
        <v>3</v>
      </c>
      <c r="F85" s="56" t="s">
        <v>2</v>
      </c>
      <c r="G85" s="57" t="s">
        <v>3</v>
      </c>
      <c r="H85" s="58" t="s">
        <v>2</v>
      </c>
      <c r="I85" s="59" t="s">
        <v>3</v>
      </c>
      <c r="J85" s="56" t="s">
        <v>2</v>
      </c>
      <c r="K85" s="57" t="s">
        <v>3</v>
      </c>
      <c r="L85" s="58" t="s">
        <v>2</v>
      </c>
      <c r="M85" s="59" t="s">
        <v>3</v>
      </c>
      <c r="N85" s="56" t="s">
        <v>2</v>
      </c>
      <c r="O85" s="57" t="s">
        <v>3</v>
      </c>
      <c r="P85" s="58" t="s">
        <v>2</v>
      </c>
      <c r="Q85" s="59" t="s">
        <v>3</v>
      </c>
      <c r="R85" s="56" t="s">
        <v>2</v>
      </c>
      <c r="S85" s="57" t="s">
        <v>3</v>
      </c>
      <c r="T85" s="58" t="s">
        <v>2</v>
      </c>
      <c r="U85" s="59" t="s">
        <v>3</v>
      </c>
      <c r="V85" s="58" t="s">
        <v>2</v>
      </c>
      <c r="W85" s="59" t="s">
        <v>3</v>
      </c>
      <c r="X85" s="58" t="s">
        <v>2</v>
      </c>
      <c r="Y85" s="59" t="s">
        <v>3</v>
      </c>
      <c r="Z85" s="53"/>
      <c r="AA85" s="51"/>
    </row>
    <row r="86" spans="1:27" ht="18" customHeight="1">
      <c r="A86" s="75" t="s">
        <v>4</v>
      </c>
      <c r="B86" s="65"/>
      <c r="C86" s="65"/>
      <c r="D86" s="64"/>
      <c r="E86" s="65"/>
      <c r="F86" s="64"/>
      <c r="G86" s="65"/>
      <c r="H86" s="64"/>
      <c r="I86" s="65"/>
      <c r="J86" s="64"/>
      <c r="K86" s="65"/>
      <c r="L86" s="64"/>
      <c r="M86" s="65"/>
      <c r="N86" s="64"/>
      <c r="O86" s="65"/>
      <c r="P86" s="64"/>
      <c r="Q86" s="65"/>
      <c r="R86" s="64"/>
      <c r="S86" s="65"/>
      <c r="T86" s="64"/>
      <c r="U86" s="65"/>
      <c r="V86" s="64"/>
      <c r="W86" s="65"/>
      <c r="X86" s="64"/>
      <c r="Y86" s="65"/>
      <c r="Z86" s="7">
        <f>SUM(B86:Y86)</f>
        <v>0</v>
      </c>
      <c r="AA86" s="10"/>
    </row>
    <row r="87" spans="1:27" ht="18" customHeight="1" thickBot="1">
      <c r="A87" s="76" t="s">
        <v>37</v>
      </c>
      <c r="B87" s="67"/>
      <c r="C87" s="67"/>
      <c r="D87" s="66"/>
      <c r="E87" s="67"/>
      <c r="F87" s="66"/>
      <c r="G87" s="67"/>
      <c r="H87" s="66"/>
      <c r="I87" s="67"/>
      <c r="J87" s="66"/>
      <c r="K87" s="67"/>
      <c r="L87" s="66"/>
      <c r="M87" s="67"/>
      <c r="N87" s="66"/>
      <c r="O87" s="67"/>
      <c r="P87" s="66"/>
      <c r="Q87" s="67"/>
      <c r="R87" s="66"/>
      <c r="S87" s="67"/>
      <c r="T87" s="66"/>
      <c r="U87" s="67"/>
      <c r="V87" s="66"/>
      <c r="W87" s="67"/>
      <c r="X87" s="66"/>
      <c r="Y87" s="67"/>
      <c r="Z87" s="11">
        <f>SUM(B87:Y87)</f>
        <v>0</v>
      </c>
      <c r="AA87" s="9">
        <f>SUM(Z86:Z87)</f>
        <v>0</v>
      </c>
    </row>
    <row r="88" spans="1:27" ht="18" customHeight="1">
      <c r="A88" s="77" t="s">
        <v>34</v>
      </c>
      <c r="B88" s="73"/>
      <c r="C88" s="64"/>
      <c r="D88" s="64"/>
      <c r="E88" s="65"/>
      <c r="F88" s="64"/>
      <c r="G88" s="65"/>
      <c r="H88" s="64"/>
      <c r="I88" s="65"/>
      <c r="J88" s="64"/>
      <c r="K88" s="65"/>
      <c r="L88" s="64"/>
      <c r="M88" s="65"/>
      <c r="N88" s="64"/>
      <c r="O88" s="65"/>
      <c r="P88" s="64"/>
      <c r="Q88" s="65"/>
      <c r="R88" s="64"/>
      <c r="S88" s="65"/>
      <c r="T88" s="64"/>
      <c r="U88" s="65"/>
      <c r="V88" s="64"/>
      <c r="W88" s="65"/>
      <c r="X88" s="64"/>
      <c r="Y88" s="65"/>
      <c r="Z88" s="13">
        <f>SUM(B88:Y88)</f>
        <v>0</v>
      </c>
      <c r="AA88" s="5"/>
    </row>
    <row r="89" spans="1:27" ht="18" customHeight="1" thickBot="1">
      <c r="A89" s="28" t="s">
        <v>0</v>
      </c>
      <c r="B89" s="74"/>
      <c r="C89" s="66"/>
      <c r="D89" s="66"/>
      <c r="E89" s="67"/>
      <c r="F89" s="66"/>
      <c r="G89" s="67"/>
      <c r="H89" s="66"/>
      <c r="I89" s="67"/>
      <c r="J89" s="66"/>
      <c r="K89" s="67"/>
      <c r="L89" s="66"/>
      <c r="M89" s="67"/>
      <c r="N89" s="66"/>
      <c r="O89" s="67"/>
      <c r="P89" s="66"/>
      <c r="Q89" s="67"/>
      <c r="R89" s="66"/>
      <c r="S89" s="67"/>
      <c r="T89" s="66"/>
      <c r="U89" s="67"/>
      <c r="V89" s="66"/>
      <c r="W89" s="67"/>
      <c r="X89" s="66"/>
      <c r="Y89" s="67"/>
      <c r="Z89" s="8">
        <f>SUM(B89:Y89)</f>
        <v>0</v>
      </c>
      <c r="AA89" s="18"/>
    </row>
    <row r="90" spans="1:27" ht="18" customHeight="1">
      <c r="A90" s="28" t="s">
        <v>35</v>
      </c>
      <c r="B90" s="7">
        <v>0</v>
      </c>
      <c r="C90" s="7">
        <v>0</v>
      </c>
      <c r="D90" s="7">
        <v>0</v>
      </c>
      <c r="E90" s="7">
        <v>0</v>
      </c>
      <c r="F90" s="7">
        <f>SUM(B88-B89)</f>
        <v>0</v>
      </c>
      <c r="G90" s="7">
        <f t="shared" ref="G90:U90" si="152">SUM(C88-C89)</f>
        <v>0</v>
      </c>
      <c r="H90" s="7">
        <f t="shared" si="152"/>
        <v>0</v>
      </c>
      <c r="I90" s="7">
        <f t="shared" si="152"/>
        <v>0</v>
      </c>
      <c r="J90" s="7">
        <f t="shared" si="152"/>
        <v>0</v>
      </c>
      <c r="K90" s="7">
        <f t="shared" si="152"/>
        <v>0</v>
      </c>
      <c r="L90" s="7">
        <f t="shared" si="152"/>
        <v>0</v>
      </c>
      <c r="M90" s="7">
        <f t="shared" si="152"/>
        <v>0</v>
      </c>
      <c r="N90" s="7">
        <f t="shared" si="152"/>
        <v>0</v>
      </c>
      <c r="O90" s="7">
        <f t="shared" si="152"/>
        <v>0</v>
      </c>
      <c r="P90" s="7">
        <f t="shared" si="152"/>
        <v>0</v>
      </c>
      <c r="Q90" s="7">
        <f t="shared" si="152"/>
        <v>0</v>
      </c>
      <c r="R90" s="7">
        <f t="shared" si="152"/>
        <v>0</v>
      </c>
      <c r="S90" s="7">
        <f t="shared" si="152"/>
        <v>0</v>
      </c>
      <c r="T90" s="7">
        <f t="shared" si="152"/>
        <v>0</v>
      </c>
      <c r="U90" s="7">
        <f t="shared" si="152"/>
        <v>0</v>
      </c>
      <c r="V90" s="7">
        <f t="shared" ref="V90" si="153">SUM(R88-R89)</f>
        <v>0</v>
      </c>
      <c r="W90" s="7">
        <f t="shared" ref="W90" si="154">SUM(S88-S89)</f>
        <v>0</v>
      </c>
      <c r="X90" s="7">
        <f t="shared" ref="X90" si="155">SUM(T88-T89)</f>
        <v>0</v>
      </c>
      <c r="Y90" s="7">
        <f t="shared" ref="Y90" si="156">SUM(U88-U89)</f>
        <v>0</v>
      </c>
      <c r="Z90" s="8">
        <f>SUM(B90:Y90)</f>
        <v>0</v>
      </c>
      <c r="AA90" s="18">
        <f>SUM(Z89:Z90)</f>
        <v>0</v>
      </c>
    </row>
    <row r="91" spans="1:27" ht="17.25" customHeight="1" thickBot="1">
      <c r="A91" s="29" t="s">
        <v>39</v>
      </c>
      <c r="B91" s="325">
        <f>SUM(B90+C90)</f>
        <v>0</v>
      </c>
      <c r="C91" s="316"/>
      <c r="D91" s="315">
        <f t="shared" ref="D91" si="157">SUM(D90+E90)</f>
        <v>0</v>
      </c>
      <c r="E91" s="316"/>
      <c r="F91" s="315">
        <f t="shared" ref="F91" si="158">SUM(F90+G90)</f>
        <v>0</v>
      </c>
      <c r="G91" s="316"/>
      <c r="H91" s="315">
        <f t="shared" ref="H91" si="159">SUM(H90+I90)</f>
        <v>0</v>
      </c>
      <c r="I91" s="316"/>
      <c r="J91" s="315">
        <f t="shared" ref="J91" si="160">SUM(J90+K90)</f>
        <v>0</v>
      </c>
      <c r="K91" s="316"/>
      <c r="L91" s="315">
        <f t="shared" ref="L91" si="161">SUM(L90+M90)</f>
        <v>0</v>
      </c>
      <c r="M91" s="316"/>
      <c r="N91" s="315">
        <f t="shared" ref="N91" si="162">SUM(N90+O90)</f>
        <v>0</v>
      </c>
      <c r="O91" s="316"/>
      <c r="P91" s="315">
        <f t="shared" ref="P91" si="163">SUM(P90+Q90)</f>
        <v>0</v>
      </c>
      <c r="Q91" s="316"/>
      <c r="R91" s="315">
        <f t="shared" ref="R91" si="164">SUM(R90+S90)</f>
        <v>0</v>
      </c>
      <c r="S91" s="316"/>
      <c r="T91" s="315">
        <f t="shared" ref="T91" si="165">SUM(T90+U90)</f>
        <v>0</v>
      </c>
      <c r="U91" s="316"/>
      <c r="V91" s="315">
        <f t="shared" ref="V91" si="166">SUM(V90+W90)</f>
        <v>0</v>
      </c>
      <c r="W91" s="316"/>
      <c r="X91" s="315">
        <f t="shared" ref="X91" si="167">SUM(X90+Y90)</f>
        <v>0</v>
      </c>
      <c r="Y91" s="316"/>
      <c r="Z91" s="78"/>
      <c r="AA91" s="79"/>
    </row>
    <row r="92" spans="1:27" ht="18" customHeight="1" thickBot="1">
      <c r="A92" s="326" t="s">
        <v>75</v>
      </c>
      <c r="B92" s="317" t="s">
        <v>125</v>
      </c>
      <c r="C92" s="318"/>
      <c r="D92" s="317" t="s">
        <v>114</v>
      </c>
      <c r="E92" s="318"/>
      <c r="F92" s="317" t="s">
        <v>115</v>
      </c>
      <c r="G92" s="318"/>
      <c r="H92" s="317" t="s">
        <v>116</v>
      </c>
      <c r="I92" s="318"/>
      <c r="J92" s="317" t="s">
        <v>117</v>
      </c>
      <c r="K92" s="318"/>
      <c r="L92" s="317" t="s">
        <v>118</v>
      </c>
      <c r="M92" s="318"/>
      <c r="N92" s="317" t="s">
        <v>119</v>
      </c>
      <c r="O92" s="318"/>
      <c r="P92" s="317" t="s">
        <v>120</v>
      </c>
      <c r="Q92" s="318"/>
      <c r="R92" s="317" t="s">
        <v>121</v>
      </c>
      <c r="S92" s="318"/>
      <c r="T92" s="317" t="s">
        <v>122</v>
      </c>
      <c r="U92" s="318"/>
      <c r="V92" s="317" t="s">
        <v>123</v>
      </c>
      <c r="W92" s="318"/>
      <c r="X92" s="317" t="s">
        <v>126</v>
      </c>
      <c r="Y92" s="318"/>
      <c r="Z92" s="54" t="s">
        <v>11</v>
      </c>
      <c r="AA92" s="52" t="s">
        <v>13</v>
      </c>
    </row>
    <row r="93" spans="1:27" ht="18" customHeight="1" thickBot="1">
      <c r="A93" s="327"/>
      <c r="B93" s="56" t="s">
        <v>2</v>
      </c>
      <c r="C93" s="57" t="s">
        <v>3</v>
      </c>
      <c r="D93" s="58" t="s">
        <v>2</v>
      </c>
      <c r="E93" s="59" t="s">
        <v>3</v>
      </c>
      <c r="F93" s="56" t="s">
        <v>2</v>
      </c>
      <c r="G93" s="57" t="s">
        <v>3</v>
      </c>
      <c r="H93" s="58" t="s">
        <v>2</v>
      </c>
      <c r="I93" s="59" t="s">
        <v>3</v>
      </c>
      <c r="J93" s="56" t="s">
        <v>2</v>
      </c>
      <c r="K93" s="57" t="s">
        <v>3</v>
      </c>
      <c r="L93" s="58" t="s">
        <v>2</v>
      </c>
      <c r="M93" s="59" t="s">
        <v>3</v>
      </c>
      <c r="N93" s="56" t="s">
        <v>2</v>
      </c>
      <c r="O93" s="57" t="s">
        <v>3</v>
      </c>
      <c r="P93" s="58" t="s">
        <v>2</v>
      </c>
      <c r="Q93" s="59" t="s">
        <v>3</v>
      </c>
      <c r="R93" s="56" t="s">
        <v>2</v>
      </c>
      <c r="S93" s="57" t="s">
        <v>3</v>
      </c>
      <c r="T93" s="58" t="s">
        <v>2</v>
      </c>
      <c r="U93" s="59" t="s">
        <v>3</v>
      </c>
      <c r="V93" s="58" t="s">
        <v>2</v>
      </c>
      <c r="W93" s="59" t="s">
        <v>3</v>
      </c>
      <c r="X93" s="58" t="s">
        <v>2</v>
      </c>
      <c r="Y93" s="59" t="s">
        <v>3</v>
      </c>
      <c r="Z93" s="53"/>
      <c r="AA93" s="51"/>
    </row>
    <row r="94" spans="1:27" ht="18" customHeight="1">
      <c r="A94" s="75" t="s">
        <v>4</v>
      </c>
      <c r="B94" s="65"/>
      <c r="C94" s="65"/>
      <c r="D94" s="64"/>
      <c r="E94" s="65"/>
      <c r="F94" s="64"/>
      <c r="G94" s="65"/>
      <c r="H94" s="64"/>
      <c r="I94" s="65"/>
      <c r="J94" s="64"/>
      <c r="K94" s="65"/>
      <c r="L94" s="64"/>
      <c r="M94" s="65"/>
      <c r="N94" s="64"/>
      <c r="O94" s="65"/>
      <c r="P94" s="64"/>
      <c r="Q94" s="65"/>
      <c r="R94" s="64"/>
      <c r="S94" s="65"/>
      <c r="T94" s="64"/>
      <c r="U94" s="65"/>
      <c r="V94" s="64"/>
      <c r="W94" s="65"/>
      <c r="X94" s="64"/>
      <c r="Y94" s="65"/>
      <c r="Z94" s="7">
        <f>SUM(B94:Y94)</f>
        <v>0</v>
      </c>
      <c r="AA94" s="10"/>
    </row>
    <row r="95" spans="1:27" ht="18" customHeight="1" thickBot="1">
      <c r="A95" s="76" t="s">
        <v>37</v>
      </c>
      <c r="B95" s="67"/>
      <c r="C95" s="67"/>
      <c r="D95" s="66"/>
      <c r="E95" s="67"/>
      <c r="F95" s="66"/>
      <c r="G95" s="67"/>
      <c r="H95" s="66"/>
      <c r="I95" s="67"/>
      <c r="J95" s="66"/>
      <c r="K95" s="67"/>
      <c r="L95" s="66"/>
      <c r="M95" s="67"/>
      <c r="N95" s="66"/>
      <c r="O95" s="67"/>
      <c r="P95" s="66"/>
      <c r="Q95" s="67"/>
      <c r="R95" s="66"/>
      <c r="S95" s="67"/>
      <c r="T95" s="66"/>
      <c r="U95" s="67"/>
      <c r="V95" s="66"/>
      <c r="W95" s="67"/>
      <c r="X95" s="66"/>
      <c r="Y95" s="67"/>
      <c r="Z95" s="11">
        <f>SUM(B95:Y95)</f>
        <v>0</v>
      </c>
      <c r="AA95" s="9">
        <f>SUM(Z94:Z95)</f>
        <v>0</v>
      </c>
    </row>
    <row r="96" spans="1:27" ht="18" customHeight="1">
      <c r="A96" s="77" t="s">
        <v>34</v>
      </c>
      <c r="B96" s="73"/>
      <c r="C96" s="64"/>
      <c r="D96" s="64"/>
      <c r="E96" s="65"/>
      <c r="F96" s="64"/>
      <c r="G96" s="65"/>
      <c r="H96" s="64"/>
      <c r="I96" s="65"/>
      <c r="J96" s="64"/>
      <c r="K96" s="65"/>
      <c r="L96" s="64"/>
      <c r="M96" s="65"/>
      <c r="N96" s="64"/>
      <c r="O96" s="65"/>
      <c r="P96" s="64"/>
      <c r="Q96" s="65"/>
      <c r="R96" s="64"/>
      <c r="S96" s="65"/>
      <c r="T96" s="64"/>
      <c r="U96" s="65"/>
      <c r="V96" s="64"/>
      <c r="W96" s="65"/>
      <c r="X96" s="64"/>
      <c r="Y96" s="65"/>
      <c r="Z96" s="13">
        <f>SUM(B96:Y96)</f>
        <v>0</v>
      </c>
      <c r="AA96" s="5"/>
    </row>
    <row r="97" spans="1:27" ht="18" customHeight="1" thickBot="1">
      <c r="A97" s="28" t="s">
        <v>0</v>
      </c>
      <c r="B97" s="74"/>
      <c r="C97" s="66"/>
      <c r="D97" s="66"/>
      <c r="E97" s="67"/>
      <c r="F97" s="66"/>
      <c r="G97" s="67"/>
      <c r="H97" s="66"/>
      <c r="I97" s="67"/>
      <c r="J97" s="66"/>
      <c r="K97" s="67"/>
      <c r="L97" s="66"/>
      <c r="M97" s="67"/>
      <c r="N97" s="66"/>
      <c r="O97" s="67"/>
      <c r="P97" s="66"/>
      <c r="Q97" s="67"/>
      <c r="R97" s="66"/>
      <c r="S97" s="67"/>
      <c r="T97" s="66"/>
      <c r="U97" s="67"/>
      <c r="V97" s="66"/>
      <c r="W97" s="67"/>
      <c r="X97" s="66"/>
      <c r="Y97" s="67"/>
      <c r="Z97" s="8">
        <f>SUM(B97:Y97)</f>
        <v>0</v>
      </c>
      <c r="AA97" s="18"/>
    </row>
    <row r="98" spans="1:27" ht="18" customHeight="1">
      <c r="A98" s="28" t="s">
        <v>35</v>
      </c>
      <c r="B98" s="7">
        <v>0</v>
      </c>
      <c r="C98" s="7">
        <v>0</v>
      </c>
      <c r="D98" s="7">
        <v>0</v>
      </c>
      <c r="E98" s="7">
        <v>0</v>
      </c>
      <c r="F98" s="7">
        <f>SUM(B96-B97)</f>
        <v>0</v>
      </c>
      <c r="G98" s="7">
        <f t="shared" ref="G98:U98" si="168">SUM(C96-C97)</f>
        <v>0</v>
      </c>
      <c r="H98" s="7">
        <f t="shared" si="168"/>
        <v>0</v>
      </c>
      <c r="I98" s="7">
        <f t="shared" si="168"/>
        <v>0</v>
      </c>
      <c r="J98" s="7">
        <f t="shared" si="168"/>
        <v>0</v>
      </c>
      <c r="K98" s="7">
        <f t="shared" si="168"/>
        <v>0</v>
      </c>
      <c r="L98" s="7">
        <f t="shared" si="168"/>
        <v>0</v>
      </c>
      <c r="M98" s="7">
        <f t="shared" si="168"/>
        <v>0</v>
      </c>
      <c r="N98" s="7">
        <f t="shared" si="168"/>
        <v>0</v>
      </c>
      <c r="O98" s="7">
        <f t="shared" si="168"/>
        <v>0</v>
      </c>
      <c r="P98" s="7">
        <f t="shared" si="168"/>
        <v>0</v>
      </c>
      <c r="Q98" s="7">
        <f t="shared" si="168"/>
        <v>0</v>
      </c>
      <c r="R98" s="7">
        <f t="shared" si="168"/>
        <v>0</v>
      </c>
      <c r="S98" s="7">
        <f t="shared" si="168"/>
        <v>0</v>
      </c>
      <c r="T98" s="7">
        <f t="shared" si="168"/>
        <v>0</v>
      </c>
      <c r="U98" s="7">
        <f t="shared" si="168"/>
        <v>0</v>
      </c>
      <c r="V98" s="7">
        <f t="shared" ref="V98" si="169">SUM(R96-R97)</f>
        <v>0</v>
      </c>
      <c r="W98" s="7">
        <f t="shared" ref="W98" si="170">SUM(S96-S97)</f>
        <v>0</v>
      </c>
      <c r="X98" s="7">
        <f t="shared" ref="X98" si="171">SUM(T96-T97)</f>
        <v>0</v>
      </c>
      <c r="Y98" s="7">
        <f t="shared" ref="Y98" si="172">SUM(U96-U97)</f>
        <v>0</v>
      </c>
      <c r="Z98" s="8">
        <f>SUM(B98:Y98)</f>
        <v>0</v>
      </c>
      <c r="AA98" s="18">
        <f>SUM(Z97:Z98)</f>
        <v>0</v>
      </c>
    </row>
    <row r="99" spans="1:27" ht="17.25" customHeight="1" thickBot="1">
      <c r="A99" s="29" t="s">
        <v>39</v>
      </c>
      <c r="B99" s="325">
        <f>SUM(B98+C98)</f>
        <v>0</v>
      </c>
      <c r="C99" s="316"/>
      <c r="D99" s="315">
        <f t="shared" ref="D99" si="173">SUM(D98+E98)</f>
        <v>0</v>
      </c>
      <c r="E99" s="316"/>
      <c r="F99" s="315">
        <f t="shared" ref="F99" si="174">SUM(F98+G98)</f>
        <v>0</v>
      </c>
      <c r="G99" s="316"/>
      <c r="H99" s="315">
        <f t="shared" ref="H99" si="175">SUM(H98+I98)</f>
        <v>0</v>
      </c>
      <c r="I99" s="316"/>
      <c r="J99" s="315">
        <f t="shared" ref="J99" si="176">SUM(J98+K98)</f>
        <v>0</v>
      </c>
      <c r="K99" s="316"/>
      <c r="L99" s="315">
        <f t="shared" ref="L99" si="177">SUM(L98+M98)</f>
        <v>0</v>
      </c>
      <c r="M99" s="316"/>
      <c r="N99" s="315">
        <f t="shared" ref="N99" si="178">SUM(N98+O98)</f>
        <v>0</v>
      </c>
      <c r="O99" s="316"/>
      <c r="P99" s="315">
        <f t="shared" ref="P99" si="179">SUM(P98+Q98)</f>
        <v>0</v>
      </c>
      <c r="Q99" s="316"/>
      <c r="R99" s="315">
        <f t="shared" ref="R99" si="180">SUM(R98+S98)</f>
        <v>0</v>
      </c>
      <c r="S99" s="316"/>
      <c r="T99" s="315">
        <f t="shared" ref="T99" si="181">SUM(T98+U98)</f>
        <v>0</v>
      </c>
      <c r="U99" s="316"/>
      <c r="V99" s="315">
        <f t="shared" ref="V99" si="182">SUM(V98+W98)</f>
        <v>0</v>
      </c>
      <c r="W99" s="316"/>
      <c r="X99" s="315">
        <f t="shared" ref="X99" si="183">SUM(X98+Y98)</f>
        <v>0</v>
      </c>
      <c r="Y99" s="316"/>
      <c r="Z99" s="78"/>
      <c r="AA99" s="79"/>
    </row>
    <row r="100" spans="1:27" ht="18" customHeight="1" thickBot="1">
      <c r="A100" s="326" t="s">
        <v>74</v>
      </c>
      <c r="B100" s="317" t="s">
        <v>38</v>
      </c>
      <c r="C100" s="318"/>
      <c r="D100" s="317" t="s">
        <v>38</v>
      </c>
      <c r="E100" s="318"/>
      <c r="F100" s="317" t="s">
        <v>38</v>
      </c>
      <c r="G100" s="318"/>
      <c r="H100" s="317" t="s">
        <v>38</v>
      </c>
      <c r="I100" s="318"/>
      <c r="J100" s="317" t="s">
        <v>38</v>
      </c>
      <c r="K100" s="318"/>
      <c r="L100" s="317" t="s">
        <v>38</v>
      </c>
      <c r="M100" s="318"/>
      <c r="N100" s="317" t="s">
        <v>38</v>
      </c>
      <c r="O100" s="318"/>
      <c r="P100" s="317" t="s">
        <v>38</v>
      </c>
      <c r="Q100" s="318"/>
      <c r="R100" s="317" t="s">
        <v>38</v>
      </c>
      <c r="S100" s="318"/>
      <c r="T100" s="317" t="s">
        <v>38</v>
      </c>
      <c r="U100" s="318"/>
      <c r="V100" s="317" t="s">
        <v>38</v>
      </c>
      <c r="W100" s="318"/>
      <c r="X100" s="317" t="s">
        <v>38</v>
      </c>
      <c r="Y100" s="318"/>
      <c r="Z100" s="54" t="s">
        <v>11</v>
      </c>
      <c r="AA100" s="52" t="s">
        <v>13</v>
      </c>
    </row>
    <row r="101" spans="1:27" ht="18" customHeight="1" thickBot="1">
      <c r="A101" s="327"/>
      <c r="B101" s="56" t="s">
        <v>2</v>
      </c>
      <c r="C101" s="57" t="s">
        <v>3</v>
      </c>
      <c r="D101" s="58" t="s">
        <v>2</v>
      </c>
      <c r="E101" s="59" t="s">
        <v>3</v>
      </c>
      <c r="F101" s="56" t="s">
        <v>2</v>
      </c>
      <c r="G101" s="57" t="s">
        <v>3</v>
      </c>
      <c r="H101" s="58" t="s">
        <v>2</v>
      </c>
      <c r="I101" s="59" t="s">
        <v>3</v>
      </c>
      <c r="J101" s="56" t="s">
        <v>2</v>
      </c>
      <c r="K101" s="57" t="s">
        <v>3</v>
      </c>
      <c r="L101" s="58" t="s">
        <v>2</v>
      </c>
      <c r="M101" s="59" t="s">
        <v>3</v>
      </c>
      <c r="N101" s="56" t="s">
        <v>2</v>
      </c>
      <c r="O101" s="57" t="s">
        <v>3</v>
      </c>
      <c r="P101" s="58" t="s">
        <v>2</v>
      </c>
      <c r="Q101" s="59" t="s">
        <v>3</v>
      </c>
      <c r="R101" s="56" t="s">
        <v>2</v>
      </c>
      <c r="S101" s="57" t="s">
        <v>3</v>
      </c>
      <c r="T101" s="58" t="s">
        <v>2</v>
      </c>
      <c r="U101" s="59" t="s">
        <v>3</v>
      </c>
      <c r="V101" s="58" t="s">
        <v>2</v>
      </c>
      <c r="W101" s="59" t="s">
        <v>3</v>
      </c>
      <c r="X101" s="58" t="s">
        <v>2</v>
      </c>
      <c r="Y101" s="59" t="s">
        <v>3</v>
      </c>
      <c r="Z101" s="53"/>
      <c r="AA101" s="51"/>
    </row>
    <row r="102" spans="1:27" ht="18" customHeight="1">
      <c r="A102" s="75" t="s">
        <v>4</v>
      </c>
      <c r="B102" s="65"/>
      <c r="C102" s="65"/>
      <c r="D102" s="64"/>
      <c r="E102" s="65"/>
      <c r="F102" s="64"/>
      <c r="G102" s="65"/>
      <c r="H102" s="64"/>
      <c r="I102" s="65"/>
      <c r="J102" s="64"/>
      <c r="K102" s="65"/>
      <c r="L102" s="64"/>
      <c r="M102" s="65"/>
      <c r="N102" s="64"/>
      <c r="O102" s="65"/>
      <c r="P102" s="64"/>
      <c r="Q102" s="65"/>
      <c r="R102" s="64"/>
      <c r="S102" s="65"/>
      <c r="T102" s="64"/>
      <c r="U102" s="65"/>
      <c r="V102" s="64"/>
      <c r="W102" s="65"/>
      <c r="X102" s="64"/>
      <c r="Y102" s="65"/>
      <c r="Z102" s="7">
        <f>SUM(B102:Y102)</f>
        <v>0</v>
      </c>
      <c r="AA102" s="10"/>
    </row>
    <row r="103" spans="1:27" ht="18" customHeight="1" thickBot="1">
      <c r="A103" s="76" t="s">
        <v>37</v>
      </c>
      <c r="B103" s="67"/>
      <c r="C103" s="67"/>
      <c r="D103" s="66"/>
      <c r="E103" s="67"/>
      <c r="F103" s="66"/>
      <c r="G103" s="67"/>
      <c r="H103" s="66"/>
      <c r="I103" s="67"/>
      <c r="J103" s="66"/>
      <c r="K103" s="67"/>
      <c r="L103" s="66"/>
      <c r="M103" s="67"/>
      <c r="N103" s="66"/>
      <c r="O103" s="67"/>
      <c r="P103" s="66"/>
      <c r="Q103" s="67"/>
      <c r="R103" s="66"/>
      <c r="S103" s="67"/>
      <c r="T103" s="66"/>
      <c r="U103" s="67"/>
      <c r="V103" s="66"/>
      <c r="W103" s="67"/>
      <c r="X103" s="66"/>
      <c r="Y103" s="67"/>
      <c r="Z103" s="11">
        <f>SUM(B103:Y103)</f>
        <v>0</v>
      </c>
      <c r="AA103" s="9">
        <f>SUM(Z102:Z103)</f>
        <v>0</v>
      </c>
    </row>
    <row r="104" spans="1:27" ht="18" customHeight="1">
      <c r="A104" s="77" t="s">
        <v>34</v>
      </c>
      <c r="B104" s="73"/>
      <c r="C104" s="64"/>
      <c r="D104" s="64"/>
      <c r="E104" s="65"/>
      <c r="F104" s="64"/>
      <c r="G104" s="65"/>
      <c r="H104" s="64"/>
      <c r="I104" s="65"/>
      <c r="J104" s="64"/>
      <c r="K104" s="65"/>
      <c r="L104" s="64"/>
      <c r="M104" s="65"/>
      <c r="N104" s="64"/>
      <c r="O104" s="65"/>
      <c r="P104" s="64"/>
      <c r="Q104" s="65"/>
      <c r="R104" s="64"/>
      <c r="S104" s="65"/>
      <c r="T104" s="64"/>
      <c r="U104" s="65"/>
      <c r="V104" s="64"/>
      <c r="W104" s="65"/>
      <c r="X104" s="64"/>
      <c r="Y104" s="65"/>
      <c r="Z104" s="13">
        <f>SUM(B104:Y104)</f>
        <v>0</v>
      </c>
      <c r="AA104" s="5"/>
    </row>
    <row r="105" spans="1:27" ht="18" customHeight="1" thickBot="1">
      <c r="A105" s="28" t="s">
        <v>0</v>
      </c>
      <c r="B105" s="74"/>
      <c r="C105" s="66"/>
      <c r="D105" s="66"/>
      <c r="E105" s="67"/>
      <c r="F105" s="66"/>
      <c r="G105" s="67"/>
      <c r="H105" s="66"/>
      <c r="I105" s="67"/>
      <c r="J105" s="66"/>
      <c r="K105" s="67"/>
      <c r="L105" s="66"/>
      <c r="M105" s="67"/>
      <c r="N105" s="66"/>
      <c r="O105" s="67"/>
      <c r="P105" s="66"/>
      <c r="Q105" s="67"/>
      <c r="R105" s="66"/>
      <c r="S105" s="67"/>
      <c r="T105" s="66"/>
      <c r="U105" s="67"/>
      <c r="V105" s="66"/>
      <c r="W105" s="67"/>
      <c r="X105" s="66"/>
      <c r="Y105" s="67"/>
      <c r="Z105" s="8">
        <f>SUM(B105:Y105)</f>
        <v>0</v>
      </c>
      <c r="AA105" s="18"/>
    </row>
    <row r="106" spans="1:27" ht="18" customHeight="1">
      <c r="A106" s="28" t="s">
        <v>35</v>
      </c>
      <c r="B106" s="7">
        <v>0</v>
      </c>
      <c r="C106" s="7">
        <v>0</v>
      </c>
      <c r="D106" s="7">
        <v>0</v>
      </c>
      <c r="E106" s="7">
        <v>0</v>
      </c>
      <c r="F106" s="7">
        <f>SUM(B104-B105)</f>
        <v>0</v>
      </c>
      <c r="G106" s="7">
        <f t="shared" ref="G106:U106" si="184">SUM(C104-C105)</f>
        <v>0</v>
      </c>
      <c r="H106" s="7">
        <f t="shared" si="184"/>
        <v>0</v>
      </c>
      <c r="I106" s="7">
        <f t="shared" si="184"/>
        <v>0</v>
      </c>
      <c r="J106" s="7">
        <f t="shared" si="184"/>
        <v>0</v>
      </c>
      <c r="K106" s="7">
        <f t="shared" si="184"/>
        <v>0</v>
      </c>
      <c r="L106" s="7">
        <f t="shared" si="184"/>
        <v>0</v>
      </c>
      <c r="M106" s="7">
        <f t="shared" si="184"/>
        <v>0</v>
      </c>
      <c r="N106" s="7">
        <f t="shared" si="184"/>
        <v>0</v>
      </c>
      <c r="O106" s="7">
        <f t="shared" si="184"/>
        <v>0</v>
      </c>
      <c r="P106" s="7">
        <f t="shared" si="184"/>
        <v>0</v>
      </c>
      <c r="Q106" s="7">
        <f t="shared" si="184"/>
        <v>0</v>
      </c>
      <c r="R106" s="7">
        <f t="shared" si="184"/>
        <v>0</v>
      </c>
      <c r="S106" s="7">
        <f t="shared" si="184"/>
        <v>0</v>
      </c>
      <c r="T106" s="7">
        <f t="shared" si="184"/>
        <v>0</v>
      </c>
      <c r="U106" s="7">
        <f t="shared" si="184"/>
        <v>0</v>
      </c>
      <c r="V106" s="7">
        <f t="shared" ref="V106" si="185">SUM(R104-R105)</f>
        <v>0</v>
      </c>
      <c r="W106" s="7">
        <f t="shared" ref="W106" si="186">SUM(S104-S105)</f>
        <v>0</v>
      </c>
      <c r="X106" s="7">
        <f t="shared" ref="X106" si="187">SUM(T104-T105)</f>
        <v>0</v>
      </c>
      <c r="Y106" s="7">
        <f t="shared" ref="Y106" si="188">SUM(U104-U105)</f>
        <v>0</v>
      </c>
      <c r="Z106" s="8">
        <f>SUM(B106:Y106)</f>
        <v>0</v>
      </c>
      <c r="AA106" s="18">
        <f>SUM(Z105:Z106)</f>
        <v>0</v>
      </c>
    </row>
    <row r="107" spans="1:27" ht="17.25" customHeight="1" thickBot="1">
      <c r="A107" s="29" t="s">
        <v>39</v>
      </c>
      <c r="B107" s="325">
        <f>SUM(B106+C106)</f>
        <v>0</v>
      </c>
      <c r="C107" s="316"/>
      <c r="D107" s="315">
        <f t="shared" ref="D107" si="189">SUM(D106+E106)</f>
        <v>0</v>
      </c>
      <c r="E107" s="316"/>
      <c r="F107" s="315">
        <f t="shared" ref="F107" si="190">SUM(F106+G106)</f>
        <v>0</v>
      </c>
      <c r="G107" s="316"/>
      <c r="H107" s="315">
        <f t="shared" ref="H107" si="191">SUM(H106+I106)</f>
        <v>0</v>
      </c>
      <c r="I107" s="316"/>
      <c r="J107" s="315">
        <f t="shared" ref="J107" si="192">SUM(J106+K106)</f>
        <v>0</v>
      </c>
      <c r="K107" s="316"/>
      <c r="L107" s="315">
        <f t="shared" ref="L107" si="193">SUM(L106+M106)</f>
        <v>0</v>
      </c>
      <c r="M107" s="316"/>
      <c r="N107" s="315">
        <f t="shared" ref="N107" si="194">SUM(N106+O106)</f>
        <v>0</v>
      </c>
      <c r="O107" s="316"/>
      <c r="P107" s="315">
        <f t="shared" ref="P107" si="195">SUM(P106+Q106)</f>
        <v>0</v>
      </c>
      <c r="Q107" s="316"/>
      <c r="R107" s="315">
        <f t="shared" ref="R107" si="196">SUM(R106+S106)</f>
        <v>0</v>
      </c>
      <c r="S107" s="316"/>
      <c r="T107" s="315">
        <f t="shared" ref="T107" si="197">SUM(T106+U106)</f>
        <v>0</v>
      </c>
      <c r="U107" s="316"/>
      <c r="V107" s="315">
        <f t="shared" ref="V107" si="198">SUM(V106+W106)</f>
        <v>0</v>
      </c>
      <c r="W107" s="316"/>
      <c r="X107" s="315">
        <f t="shared" ref="X107" si="199">SUM(X106+Y106)</f>
        <v>0</v>
      </c>
      <c r="Y107" s="316"/>
      <c r="Z107" s="78"/>
      <c r="AA107" s="79"/>
    </row>
    <row r="108" spans="1:27" ht="18" customHeight="1" thickBot="1">
      <c r="A108" s="326" t="s">
        <v>73</v>
      </c>
      <c r="B108" s="317" t="s">
        <v>38</v>
      </c>
      <c r="C108" s="318"/>
      <c r="D108" s="317" t="s">
        <v>38</v>
      </c>
      <c r="E108" s="318"/>
      <c r="F108" s="317" t="s">
        <v>38</v>
      </c>
      <c r="G108" s="318"/>
      <c r="H108" s="317" t="s">
        <v>38</v>
      </c>
      <c r="I108" s="318"/>
      <c r="J108" s="317" t="s">
        <v>38</v>
      </c>
      <c r="K108" s="318"/>
      <c r="L108" s="317" t="s">
        <v>38</v>
      </c>
      <c r="M108" s="318"/>
      <c r="N108" s="317" t="s">
        <v>38</v>
      </c>
      <c r="O108" s="318"/>
      <c r="P108" s="317" t="s">
        <v>38</v>
      </c>
      <c r="Q108" s="318"/>
      <c r="R108" s="317" t="s">
        <v>38</v>
      </c>
      <c r="S108" s="318"/>
      <c r="T108" s="317" t="s">
        <v>38</v>
      </c>
      <c r="U108" s="318"/>
      <c r="V108" s="317" t="s">
        <v>38</v>
      </c>
      <c r="W108" s="318"/>
      <c r="X108" s="317" t="s">
        <v>38</v>
      </c>
      <c r="Y108" s="318"/>
      <c r="Z108" s="54" t="s">
        <v>11</v>
      </c>
      <c r="AA108" s="52" t="s">
        <v>13</v>
      </c>
    </row>
    <row r="109" spans="1:27" ht="18" customHeight="1" thickBot="1">
      <c r="A109" s="327"/>
      <c r="B109" s="56" t="s">
        <v>2</v>
      </c>
      <c r="C109" s="57" t="s">
        <v>3</v>
      </c>
      <c r="D109" s="58" t="s">
        <v>2</v>
      </c>
      <c r="E109" s="59" t="s">
        <v>3</v>
      </c>
      <c r="F109" s="56" t="s">
        <v>2</v>
      </c>
      <c r="G109" s="57" t="s">
        <v>3</v>
      </c>
      <c r="H109" s="58" t="s">
        <v>2</v>
      </c>
      <c r="I109" s="59" t="s">
        <v>3</v>
      </c>
      <c r="J109" s="56" t="s">
        <v>2</v>
      </c>
      <c r="K109" s="57" t="s">
        <v>3</v>
      </c>
      <c r="L109" s="58" t="s">
        <v>2</v>
      </c>
      <c r="M109" s="59" t="s">
        <v>3</v>
      </c>
      <c r="N109" s="56" t="s">
        <v>2</v>
      </c>
      <c r="O109" s="57" t="s">
        <v>3</v>
      </c>
      <c r="P109" s="58" t="s">
        <v>2</v>
      </c>
      <c r="Q109" s="59" t="s">
        <v>3</v>
      </c>
      <c r="R109" s="56" t="s">
        <v>2</v>
      </c>
      <c r="S109" s="57" t="s">
        <v>3</v>
      </c>
      <c r="T109" s="58" t="s">
        <v>2</v>
      </c>
      <c r="U109" s="59" t="s">
        <v>3</v>
      </c>
      <c r="V109" s="58" t="s">
        <v>2</v>
      </c>
      <c r="W109" s="59" t="s">
        <v>3</v>
      </c>
      <c r="X109" s="58" t="s">
        <v>2</v>
      </c>
      <c r="Y109" s="59" t="s">
        <v>3</v>
      </c>
      <c r="Z109" s="53"/>
      <c r="AA109" s="51"/>
    </row>
    <row r="110" spans="1:27" ht="18" customHeight="1">
      <c r="A110" s="75" t="s">
        <v>4</v>
      </c>
      <c r="B110" s="65"/>
      <c r="C110" s="65"/>
      <c r="D110" s="64"/>
      <c r="E110" s="65"/>
      <c r="F110" s="64"/>
      <c r="G110" s="65"/>
      <c r="H110" s="64"/>
      <c r="I110" s="65"/>
      <c r="J110" s="64"/>
      <c r="K110" s="65"/>
      <c r="L110" s="64"/>
      <c r="M110" s="65"/>
      <c r="N110" s="64"/>
      <c r="O110" s="65"/>
      <c r="P110" s="64"/>
      <c r="Q110" s="65"/>
      <c r="R110" s="64"/>
      <c r="S110" s="65"/>
      <c r="T110" s="64"/>
      <c r="U110" s="65"/>
      <c r="V110" s="64"/>
      <c r="W110" s="65"/>
      <c r="X110" s="64"/>
      <c r="Y110" s="65"/>
      <c r="Z110" s="7">
        <f>SUM(B110:Y110)</f>
        <v>0</v>
      </c>
      <c r="AA110" s="10"/>
    </row>
    <row r="111" spans="1:27" ht="18" customHeight="1" thickBot="1">
      <c r="A111" s="76" t="s">
        <v>37</v>
      </c>
      <c r="B111" s="67"/>
      <c r="C111" s="67"/>
      <c r="D111" s="66"/>
      <c r="E111" s="67"/>
      <c r="F111" s="66"/>
      <c r="G111" s="67"/>
      <c r="H111" s="66"/>
      <c r="I111" s="67"/>
      <c r="J111" s="66"/>
      <c r="K111" s="67"/>
      <c r="L111" s="66"/>
      <c r="M111" s="67"/>
      <c r="N111" s="66"/>
      <c r="O111" s="67"/>
      <c r="P111" s="66"/>
      <c r="Q111" s="67"/>
      <c r="R111" s="66"/>
      <c r="S111" s="67"/>
      <c r="T111" s="66"/>
      <c r="U111" s="67"/>
      <c r="V111" s="66"/>
      <c r="W111" s="67"/>
      <c r="X111" s="66"/>
      <c r="Y111" s="67"/>
      <c r="Z111" s="11">
        <f>SUM(B111:Y111)</f>
        <v>0</v>
      </c>
      <c r="AA111" s="9">
        <f>SUM(Z110:Z111)</f>
        <v>0</v>
      </c>
    </row>
    <row r="112" spans="1:27" ht="18" customHeight="1">
      <c r="A112" s="77" t="s">
        <v>34</v>
      </c>
      <c r="B112" s="73"/>
      <c r="C112" s="64"/>
      <c r="D112" s="64"/>
      <c r="E112" s="65"/>
      <c r="F112" s="64"/>
      <c r="G112" s="65"/>
      <c r="H112" s="64"/>
      <c r="I112" s="65"/>
      <c r="J112" s="64"/>
      <c r="K112" s="65"/>
      <c r="L112" s="64"/>
      <c r="M112" s="65"/>
      <c r="N112" s="64"/>
      <c r="O112" s="65"/>
      <c r="P112" s="64"/>
      <c r="Q112" s="65"/>
      <c r="R112" s="64"/>
      <c r="S112" s="65"/>
      <c r="T112" s="64"/>
      <c r="U112" s="65"/>
      <c r="V112" s="64"/>
      <c r="W112" s="65"/>
      <c r="X112" s="64"/>
      <c r="Y112" s="65"/>
      <c r="Z112" s="13">
        <f>SUM(B112:Y112)</f>
        <v>0</v>
      </c>
      <c r="AA112" s="5"/>
    </row>
    <row r="113" spans="1:27" ht="18" customHeight="1" thickBot="1">
      <c r="A113" s="28" t="s">
        <v>0</v>
      </c>
      <c r="B113" s="74"/>
      <c r="C113" s="66"/>
      <c r="D113" s="66"/>
      <c r="E113" s="67"/>
      <c r="F113" s="66"/>
      <c r="G113" s="67"/>
      <c r="H113" s="66"/>
      <c r="I113" s="67"/>
      <c r="J113" s="66"/>
      <c r="K113" s="67"/>
      <c r="L113" s="66"/>
      <c r="M113" s="67"/>
      <c r="N113" s="66"/>
      <c r="O113" s="67"/>
      <c r="P113" s="66"/>
      <c r="Q113" s="67"/>
      <c r="R113" s="66"/>
      <c r="S113" s="67"/>
      <c r="T113" s="66"/>
      <c r="U113" s="67"/>
      <c r="V113" s="66"/>
      <c r="W113" s="67"/>
      <c r="X113" s="66"/>
      <c r="Y113" s="67"/>
      <c r="Z113" s="8">
        <f>SUM(B113:Y113)</f>
        <v>0</v>
      </c>
      <c r="AA113" s="18"/>
    </row>
    <row r="114" spans="1:27" ht="18" customHeight="1">
      <c r="A114" s="28" t="s">
        <v>35</v>
      </c>
      <c r="B114" s="7">
        <v>0</v>
      </c>
      <c r="C114" s="7">
        <v>0</v>
      </c>
      <c r="D114" s="7">
        <v>0</v>
      </c>
      <c r="E114" s="7">
        <v>0</v>
      </c>
      <c r="F114" s="7">
        <f>SUM(B112-B113)</f>
        <v>0</v>
      </c>
      <c r="G114" s="7">
        <f t="shared" ref="G114:U114" si="200">SUM(C112-C113)</f>
        <v>0</v>
      </c>
      <c r="H114" s="7">
        <f t="shared" si="200"/>
        <v>0</v>
      </c>
      <c r="I114" s="7">
        <f t="shared" si="200"/>
        <v>0</v>
      </c>
      <c r="J114" s="7">
        <f t="shared" si="200"/>
        <v>0</v>
      </c>
      <c r="K114" s="7">
        <f t="shared" si="200"/>
        <v>0</v>
      </c>
      <c r="L114" s="7">
        <f t="shared" si="200"/>
        <v>0</v>
      </c>
      <c r="M114" s="7">
        <f t="shared" si="200"/>
        <v>0</v>
      </c>
      <c r="N114" s="7">
        <f t="shared" si="200"/>
        <v>0</v>
      </c>
      <c r="O114" s="7">
        <f t="shared" si="200"/>
        <v>0</v>
      </c>
      <c r="P114" s="7">
        <f t="shared" si="200"/>
        <v>0</v>
      </c>
      <c r="Q114" s="7">
        <f t="shared" si="200"/>
        <v>0</v>
      </c>
      <c r="R114" s="7">
        <f t="shared" si="200"/>
        <v>0</v>
      </c>
      <c r="S114" s="7">
        <f t="shared" si="200"/>
        <v>0</v>
      </c>
      <c r="T114" s="7">
        <f t="shared" si="200"/>
        <v>0</v>
      </c>
      <c r="U114" s="7">
        <f t="shared" si="200"/>
        <v>0</v>
      </c>
      <c r="V114" s="7">
        <f t="shared" ref="V114" si="201">SUM(R112-R113)</f>
        <v>0</v>
      </c>
      <c r="W114" s="7">
        <f t="shared" ref="W114" si="202">SUM(S112-S113)</f>
        <v>0</v>
      </c>
      <c r="X114" s="7">
        <f t="shared" ref="X114" si="203">SUM(T112-T113)</f>
        <v>0</v>
      </c>
      <c r="Y114" s="7">
        <f t="shared" ref="Y114" si="204">SUM(U112-U113)</f>
        <v>0</v>
      </c>
      <c r="Z114" s="8">
        <f>SUM(B114:Y114)</f>
        <v>0</v>
      </c>
      <c r="AA114" s="18">
        <f>SUM(Z113:Z114)</f>
        <v>0</v>
      </c>
    </row>
    <row r="115" spans="1:27" ht="17.25" customHeight="1" thickBot="1">
      <c r="A115" s="29" t="s">
        <v>39</v>
      </c>
      <c r="B115" s="325">
        <f>SUM(B114+C114)</f>
        <v>0</v>
      </c>
      <c r="C115" s="316"/>
      <c r="D115" s="315">
        <f t="shared" ref="D115" si="205">SUM(D114+E114)</f>
        <v>0</v>
      </c>
      <c r="E115" s="316"/>
      <c r="F115" s="315">
        <f t="shared" ref="F115" si="206">SUM(F114+G114)</f>
        <v>0</v>
      </c>
      <c r="G115" s="316"/>
      <c r="H115" s="315">
        <f t="shared" ref="H115" si="207">SUM(H114+I114)</f>
        <v>0</v>
      </c>
      <c r="I115" s="316"/>
      <c r="J115" s="315">
        <f t="shared" ref="J115" si="208">SUM(J114+K114)</f>
        <v>0</v>
      </c>
      <c r="K115" s="316"/>
      <c r="L115" s="315">
        <f t="shared" ref="L115" si="209">SUM(L114+M114)</f>
        <v>0</v>
      </c>
      <c r="M115" s="316"/>
      <c r="N115" s="315">
        <f t="shared" ref="N115" si="210">SUM(N114+O114)</f>
        <v>0</v>
      </c>
      <c r="O115" s="316"/>
      <c r="P115" s="315">
        <f t="shared" ref="P115" si="211">SUM(P114+Q114)</f>
        <v>0</v>
      </c>
      <c r="Q115" s="316"/>
      <c r="R115" s="315">
        <f t="shared" ref="R115" si="212">SUM(R114+S114)</f>
        <v>0</v>
      </c>
      <c r="S115" s="316"/>
      <c r="T115" s="315">
        <f t="shared" ref="T115" si="213">SUM(T114+U114)</f>
        <v>0</v>
      </c>
      <c r="U115" s="316"/>
      <c r="V115" s="315">
        <f t="shared" ref="V115" si="214">SUM(V114+W114)</f>
        <v>0</v>
      </c>
      <c r="W115" s="316"/>
      <c r="X115" s="315">
        <f t="shared" ref="X115" si="215">SUM(X114+Y114)</f>
        <v>0</v>
      </c>
      <c r="Y115" s="316"/>
      <c r="Z115" s="78"/>
      <c r="AA115" s="79"/>
    </row>
    <row r="116" spans="1:27" ht="18" customHeight="1" thickBot="1">
      <c r="A116" s="326" t="s">
        <v>72</v>
      </c>
      <c r="B116" s="317" t="s">
        <v>38</v>
      </c>
      <c r="C116" s="318"/>
      <c r="D116" s="317" t="s">
        <v>38</v>
      </c>
      <c r="E116" s="318"/>
      <c r="F116" s="317" t="s">
        <v>38</v>
      </c>
      <c r="G116" s="318"/>
      <c r="H116" s="317" t="s">
        <v>38</v>
      </c>
      <c r="I116" s="318"/>
      <c r="J116" s="317" t="s">
        <v>38</v>
      </c>
      <c r="K116" s="318"/>
      <c r="L116" s="317" t="s">
        <v>38</v>
      </c>
      <c r="M116" s="318"/>
      <c r="N116" s="317" t="s">
        <v>38</v>
      </c>
      <c r="O116" s="318"/>
      <c r="P116" s="317" t="s">
        <v>38</v>
      </c>
      <c r="Q116" s="318"/>
      <c r="R116" s="317" t="s">
        <v>38</v>
      </c>
      <c r="S116" s="318"/>
      <c r="T116" s="317" t="s">
        <v>38</v>
      </c>
      <c r="U116" s="318"/>
      <c r="V116" s="317" t="s">
        <v>38</v>
      </c>
      <c r="W116" s="318"/>
      <c r="X116" s="317" t="s">
        <v>38</v>
      </c>
      <c r="Y116" s="318"/>
      <c r="Z116" s="54" t="s">
        <v>11</v>
      </c>
      <c r="AA116" s="52" t="s">
        <v>13</v>
      </c>
    </row>
    <row r="117" spans="1:27" ht="18" customHeight="1" thickBot="1">
      <c r="A117" s="327"/>
      <c r="B117" s="56" t="s">
        <v>2</v>
      </c>
      <c r="C117" s="57" t="s">
        <v>3</v>
      </c>
      <c r="D117" s="58" t="s">
        <v>2</v>
      </c>
      <c r="E117" s="59" t="s">
        <v>3</v>
      </c>
      <c r="F117" s="56" t="s">
        <v>2</v>
      </c>
      <c r="G117" s="57" t="s">
        <v>3</v>
      </c>
      <c r="H117" s="58" t="s">
        <v>2</v>
      </c>
      <c r="I117" s="59" t="s">
        <v>3</v>
      </c>
      <c r="J117" s="56" t="s">
        <v>2</v>
      </c>
      <c r="K117" s="57" t="s">
        <v>3</v>
      </c>
      <c r="L117" s="58" t="s">
        <v>2</v>
      </c>
      <c r="M117" s="59" t="s">
        <v>3</v>
      </c>
      <c r="N117" s="56" t="s">
        <v>2</v>
      </c>
      <c r="O117" s="57" t="s">
        <v>3</v>
      </c>
      <c r="P117" s="58" t="s">
        <v>2</v>
      </c>
      <c r="Q117" s="59" t="s">
        <v>3</v>
      </c>
      <c r="R117" s="56" t="s">
        <v>2</v>
      </c>
      <c r="S117" s="57" t="s">
        <v>3</v>
      </c>
      <c r="T117" s="58" t="s">
        <v>2</v>
      </c>
      <c r="U117" s="59" t="s">
        <v>3</v>
      </c>
      <c r="V117" s="58" t="s">
        <v>2</v>
      </c>
      <c r="W117" s="59" t="s">
        <v>3</v>
      </c>
      <c r="X117" s="58" t="s">
        <v>2</v>
      </c>
      <c r="Y117" s="59" t="s">
        <v>3</v>
      </c>
      <c r="Z117" s="53"/>
      <c r="AA117" s="51"/>
    </row>
    <row r="118" spans="1:27" ht="18" customHeight="1">
      <c r="A118" s="75" t="s">
        <v>4</v>
      </c>
      <c r="B118" s="65"/>
      <c r="C118" s="65"/>
      <c r="D118" s="64"/>
      <c r="E118" s="65"/>
      <c r="F118" s="64"/>
      <c r="G118" s="65"/>
      <c r="H118" s="64"/>
      <c r="I118" s="65"/>
      <c r="J118" s="64"/>
      <c r="K118" s="65"/>
      <c r="L118" s="64"/>
      <c r="M118" s="65"/>
      <c r="N118" s="64"/>
      <c r="O118" s="65"/>
      <c r="P118" s="64"/>
      <c r="Q118" s="65"/>
      <c r="R118" s="64"/>
      <c r="S118" s="65"/>
      <c r="T118" s="64"/>
      <c r="U118" s="65"/>
      <c r="V118" s="64"/>
      <c r="W118" s="65"/>
      <c r="X118" s="64"/>
      <c r="Y118" s="65"/>
      <c r="Z118" s="7">
        <f>SUM(B118:Y118)</f>
        <v>0</v>
      </c>
      <c r="AA118" s="10"/>
    </row>
    <row r="119" spans="1:27" ht="18" customHeight="1" thickBot="1">
      <c r="A119" s="76" t="s">
        <v>37</v>
      </c>
      <c r="B119" s="67"/>
      <c r="C119" s="67"/>
      <c r="D119" s="66"/>
      <c r="E119" s="67"/>
      <c r="F119" s="66"/>
      <c r="G119" s="67"/>
      <c r="H119" s="66"/>
      <c r="I119" s="67"/>
      <c r="J119" s="66"/>
      <c r="K119" s="67"/>
      <c r="L119" s="66"/>
      <c r="M119" s="67"/>
      <c r="N119" s="66"/>
      <c r="O119" s="67"/>
      <c r="P119" s="66"/>
      <c r="Q119" s="67"/>
      <c r="R119" s="66"/>
      <c r="S119" s="67"/>
      <c r="T119" s="66"/>
      <c r="U119" s="67"/>
      <c r="V119" s="66"/>
      <c r="W119" s="67"/>
      <c r="X119" s="66"/>
      <c r="Y119" s="67"/>
      <c r="Z119" s="11">
        <f>SUM(B119:Y119)</f>
        <v>0</v>
      </c>
      <c r="AA119" s="9">
        <f>SUM(Z118:Z119)</f>
        <v>0</v>
      </c>
    </row>
    <row r="120" spans="1:27" ht="18" customHeight="1">
      <c r="A120" s="77" t="s">
        <v>34</v>
      </c>
      <c r="B120" s="73"/>
      <c r="C120" s="64"/>
      <c r="D120" s="64"/>
      <c r="E120" s="65"/>
      <c r="F120" s="64"/>
      <c r="G120" s="65"/>
      <c r="H120" s="64"/>
      <c r="I120" s="65"/>
      <c r="J120" s="64"/>
      <c r="K120" s="65"/>
      <c r="L120" s="64"/>
      <c r="M120" s="65"/>
      <c r="N120" s="64"/>
      <c r="O120" s="65"/>
      <c r="P120" s="64"/>
      <c r="Q120" s="65"/>
      <c r="R120" s="64"/>
      <c r="S120" s="65"/>
      <c r="T120" s="64"/>
      <c r="U120" s="65"/>
      <c r="V120" s="64"/>
      <c r="W120" s="65"/>
      <c r="X120" s="64"/>
      <c r="Y120" s="65"/>
      <c r="Z120" s="13">
        <f>SUM(B120:Y120)</f>
        <v>0</v>
      </c>
      <c r="AA120" s="5"/>
    </row>
    <row r="121" spans="1:27" ht="18" customHeight="1" thickBot="1">
      <c r="A121" s="28" t="s">
        <v>0</v>
      </c>
      <c r="B121" s="74"/>
      <c r="C121" s="66"/>
      <c r="D121" s="66"/>
      <c r="E121" s="67"/>
      <c r="F121" s="66"/>
      <c r="G121" s="67"/>
      <c r="H121" s="66"/>
      <c r="I121" s="67"/>
      <c r="J121" s="66"/>
      <c r="K121" s="67"/>
      <c r="L121" s="66"/>
      <c r="M121" s="67"/>
      <c r="N121" s="66"/>
      <c r="O121" s="67"/>
      <c r="P121" s="66"/>
      <c r="Q121" s="67"/>
      <c r="R121" s="66"/>
      <c r="S121" s="67"/>
      <c r="T121" s="66"/>
      <c r="U121" s="67"/>
      <c r="V121" s="66"/>
      <c r="W121" s="67"/>
      <c r="X121" s="66"/>
      <c r="Y121" s="67"/>
      <c r="Z121" s="8">
        <f>SUM(B121:Y121)</f>
        <v>0</v>
      </c>
      <c r="AA121" s="18"/>
    </row>
    <row r="122" spans="1:27" ht="18" customHeight="1">
      <c r="A122" s="28" t="s">
        <v>35</v>
      </c>
      <c r="B122" s="7">
        <v>0</v>
      </c>
      <c r="C122" s="7">
        <v>0</v>
      </c>
      <c r="D122" s="7">
        <v>0</v>
      </c>
      <c r="E122" s="7">
        <v>0</v>
      </c>
      <c r="F122" s="7">
        <f>SUM(B120-B121)</f>
        <v>0</v>
      </c>
      <c r="G122" s="7">
        <f t="shared" ref="G122:U122" si="216">SUM(C120-C121)</f>
        <v>0</v>
      </c>
      <c r="H122" s="7">
        <f t="shared" si="216"/>
        <v>0</v>
      </c>
      <c r="I122" s="7">
        <f t="shared" si="216"/>
        <v>0</v>
      </c>
      <c r="J122" s="7">
        <f t="shared" si="216"/>
        <v>0</v>
      </c>
      <c r="K122" s="7">
        <f t="shared" si="216"/>
        <v>0</v>
      </c>
      <c r="L122" s="7">
        <f t="shared" si="216"/>
        <v>0</v>
      </c>
      <c r="M122" s="7">
        <f t="shared" si="216"/>
        <v>0</v>
      </c>
      <c r="N122" s="7">
        <f t="shared" si="216"/>
        <v>0</v>
      </c>
      <c r="O122" s="7">
        <f t="shared" si="216"/>
        <v>0</v>
      </c>
      <c r="P122" s="7">
        <f t="shared" si="216"/>
        <v>0</v>
      </c>
      <c r="Q122" s="7">
        <f t="shared" si="216"/>
        <v>0</v>
      </c>
      <c r="R122" s="7">
        <f t="shared" si="216"/>
        <v>0</v>
      </c>
      <c r="S122" s="7">
        <f t="shared" si="216"/>
        <v>0</v>
      </c>
      <c r="T122" s="7">
        <f t="shared" si="216"/>
        <v>0</v>
      </c>
      <c r="U122" s="7">
        <f t="shared" si="216"/>
        <v>0</v>
      </c>
      <c r="V122" s="7">
        <f t="shared" ref="V122" si="217">SUM(R120-R121)</f>
        <v>0</v>
      </c>
      <c r="W122" s="7">
        <f t="shared" ref="W122" si="218">SUM(S120-S121)</f>
        <v>0</v>
      </c>
      <c r="X122" s="7">
        <f t="shared" ref="X122" si="219">SUM(T120-T121)</f>
        <v>0</v>
      </c>
      <c r="Y122" s="7">
        <f t="shared" ref="Y122" si="220">SUM(U120-U121)</f>
        <v>0</v>
      </c>
      <c r="Z122" s="8">
        <f>SUM(B122:Y122)</f>
        <v>0</v>
      </c>
      <c r="AA122" s="18">
        <f>SUM(Z121:Z122)</f>
        <v>0</v>
      </c>
    </row>
    <row r="123" spans="1:27" ht="17.25" customHeight="1" thickBot="1">
      <c r="A123" s="29" t="s">
        <v>39</v>
      </c>
      <c r="B123" s="325">
        <f>SUM(B122+C122)</f>
        <v>0</v>
      </c>
      <c r="C123" s="316"/>
      <c r="D123" s="315">
        <f t="shared" ref="D123" si="221">SUM(D122+E122)</f>
        <v>0</v>
      </c>
      <c r="E123" s="316"/>
      <c r="F123" s="315">
        <f t="shared" ref="F123" si="222">SUM(F122+G122)</f>
        <v>0</v>
      </c>
      <c r="G123" s="316"/>
      <c r="H123" s="315">
        <f t="shared" ref="H123" si="223">SUM(H122+I122)</f>
        <v>0</v>
      </c>
      <c r="I123" s="316"/>
      <c r="J123" s="315">
        <f t="shared" ref="J123" si="224">SUM(J122+K122)</f>
        <v>0</v>
      </c>
      <c r="K123" s="316"/>
      <c r="L123" s="315">
        <f t="shared" ref="L123" si="225">SUM(L122+M122)</f>
        <v>0</v>
      </c>
      <c r="M123" s="316"/>
      <c r="N123" s="315">
        <f t="shared" ref="N123" si="226">SUM(N122+O122)</f>
        <v>0</v>
      </c>
      <c r="O123" s="316"/>
      <c r="P123" s="315">
        <f t="shared" ref="P123" si="227">SUM(P122+Q122)</f>
        <v>0</v>
      </c>
      <c r="Q123" s="316"/>
      <c r="R123" s="315">
        <f t="shared" ref="R123" si="228">SUM(R122+S122)</f>
        <v>0</v>
      </c>
      <c r="S123" s="316"/>
      <c r="T123" s="315">
        <f t="shared" ref="T123" si="229">SUM(T122+U122)</f>
        <v>0</v>
      </c>
      <c r="U123" s="316"/>
      <c r="V123" s="315">
        <f t="shared" ref="V123" si="230">SUM(V122+W122)</f>
        <v>0</v>
      </c>
      <c r="W123" s="316"/>
      <c r="X123" s="315">
        <f t="shared" ref="X123" si="231">SUM(X122+Y122)</f>
        <v>0</v>
      </c>
      <c r="Y123" s="316"/>
      <c r="Z123" s="78"/>
      <c r="AA123" s="79"/>
    </row>
    <row r="124" spans="1:27" ht="18" customHeight="1" thickBot="1">
      <c r="A124" s="326" t="s">
        <v>71</v>
      </c>
      <c r="B124" s="317" t="s">
        <v>38</v>
      </c>
      <c r="C124" s="318"/>
      <c r="D124" s="317" t="s">
        <v>38</v>
      </c>
      <c r="E124" s="318"/>
      <c r="F124" s="317" t="s">
        <v>38</v>
      </c>
      <c r="G124" s="318"/>
      <c r="H124" s="317" t="s">
        <v>38</v>
      </c>
      <c r="I124" s="318"/>
      <c r="J124" s="317" t="s">
        <v>38</v>
      </c>
      <c r="K124" s="318"/>
      <c r="L124" s="317" t="s">
        <v>38</v>
      </c>
      <c r="M124" s="318"/>
      <c r="N124" s="317" t="s">
        <v>38</v>
      </c>
      <c r="O124" s="318"/>
      <c r="P124" s="317" t="s">
        <v>38</v>
      </c>
      <c r="Q124" s="318"/>
      <c r="R124" s="317" t="s">
        <v>38</v>
      </c>
      <c r="S124" s="318"/>
      <c r="T124" s="317" t="s">
        <v>38</v>
      </c>
      <c r="U124" s="318"/>
      <c r="V124" s="317" t="s">
        <v>38</v>
      </c>
      <c r="W124" s="318"/>
      <c r="X124" s="317" t="s">
        <v>38</v>
      </c>
      <c r="Y124" s="318"/>
      <c r="Z124" s="54" t="s">
        <v>11</v>
      </c>
      <c r="AA124" s="52" t="s">
        <v>13</v>
      </c>
    </row>
    <row r="125" spans="1:27" ht="18" customHeight="1" thickBot="1">
      <c r="A125" s="327"/>
      <c r="B125" s="56" t="s">
        <v>2</v>
      </c>
      <c r="C125" s="57" t="s">
        <v>3</v>
      </c>
      <c r="D125" s="58" t="s">
        <v>2</v>
      </c>
      <c r="E125" s="59" t="s">
        <v>3</v>
      </c>
      <c r="F125" s="56" t="s">
        <v>2</v>
      </c>
      <c r="G125" s="57" t="s">
        <v>3</v>
      </c>
      <c r="H125" s="58" t="s">
        <v>2</v>
      </c>
      <c r="I125" s="59" t="s">
        <v>3</v>
      </c>
      <c r="J125" s="56" t="s">
        <v>2</v>
      </c>
      <c r="K125" s="57" t="s">
        <v>3</v>
      </c>
      <c r="L125" s="58" t="s">
        <v>2</v>
      </c>
      <c r="M125" s="59" t="s">
        <v>3</v>
      </c>
      <c r="N125" s="56" t="s">
        <v>2</v>
      </c>
      <c r="O125" s="57" t="s">
        <v>3</v>
      </c>
      <c r="P125" s="58" t="s">
        <v>2</v>
      </c>
      <c r="Q125" s="59" t="s">
        <v>3</v>
      </c>
      <c r="R125" s="56" t="s">
        <v>2</v>
      </c>
      <c r="S125" s="57" t="s">
        <v>3</v>
      </c>
      <c r="T125" s="58" t="s">
        <v>2</v>
      </c>
      <c r="U125" s="59" t="s">
        <v>3</v>
      </c>
      <c r="V125" s="58" t="s">
        <v>2</v>
      </c>
      <c r="W125" s="59" t="s">
        <v>3</v>
      </c>
      <c r="X125" s="58" t="s">
        <v>2</v>
      </c>
      <c r="Y125" s="59" t="s">
        <v>3</v>
      </c>
      <c r="Z125" s="53"/>
      <c r="AA125" s="51"/>
    </row>
    <row r="126" spans="1:27" ht="18" customHeight="1">
      <c r="A126" s="75" t="s">
        <v>4</v>
      </c>
      <c r="B126" s="65"/>
      <c r="C126" s="65"/>
      <c r="D126" s="64"/>
      <c r="E126" s="65"/>
      <c r="F126" s="64"/>
      <c r="G126" s="65"/>
      <c r="H126" s="64"/>
      <c r="I126" s="65"/>
      <c r="J126" s="64"/>
      <c r="K126" s="65"/>
      <c r="L126" s="64"/>
      <c r="M126" s="65"/>
      <c r="N126" s="64"/>
      <c r="O126" s="65"/>
      <c r="P126" s="64"/>
      <c r="Q126" s="65"/>
      <c r="R126" s="64"/>
      <c r="S126" s="65"/>
      <c r="T126" s="64"/>
      <c r="U126" s="65"/>
      <c r="V126" s="64"/>
      <c r="W126" s="65"/>
      <c r="X126" s="64"/>
      <c r="Y126" s="65"/>
      <c r="Z126" s="7">
        <f>SUM(B126:Y126)</f>
        <v>0</v>
      </c>
      <c r="AA126" s="10"/>
    </row>
    <row r="127" spans="1:27" ht="18" customHeight="1" thickBot="1">
      <c r="A127" s="76" t="s">
        <v>37</v>
      </c>
      <c r="B127" s="67"/>
      <c r="C127" s="67"/>
      <c r="D127" s="66"/>
      <c r="E127" s="67"/>
      <c r="F127" s="66"/>
      <c r="G127" s="67"/>
      <c r="H127" s="66"/>
      <c r="I127" s="67"/>
      <c r="J127" s="66"/>
      <c r="K127" s="67"/>
      <c r="L127" s="66"/>
      <c r="M127" s="67"/>
      <c r="N127" s="66"/>
      <c r="O127" s="67"/>
      <c r="P127" s="66"/>
      <c r="Q127" s="67"/>
      <c r="R127" s="66"/>
      <c r="S127" s="67"/>
      <c r="T127" s="66"/>
      <c r="U127" s="67"/>
      <c r="V127" s="66"/>
      <c r="W127" s="67"/>
      <c r="X127" s="66"/>
      <c r="Y127" s="67"/>
      <c r="Z127" s="11">
        <f>SUM(B127:Y127)</f>
        <v>0</v>
      </c>
      <c r="AA127" s="9">
        <f>SUM(Z126:Z127)</f>
        <v>0</v>
      </c>
    </row>
    <row r="128" spans="1:27" ht="18" customHeight="1">
      <c r="A128" s="77" t="s">
        <v>34</v>
      </c>
      <c r="B128" s="73"/>
      <c r="C128" s="64"/>
      <c r="D128" s="64"/>
      <c r="E128" s="65"/>
      <c r="F128" s="64"/>
      <c r="G128" s="65"/>
      <c r="H128" s="64"/>
      <c r="I128" s="65"/>
      <c r="J128" s="64"/>
      <c r="K128" s="65"/>
      <c r="L128" s="64"/>
      <c r="M128" s="65"/>
      <c r="N128" s="64"/>
      <c r="O128" s="65"/>
      <c r="P128" s="64"/>
      <c r="Q128" s="65"/>
      <c r="R128" s="64"/>
      <c r="S128" s="65"/>
      <c r="T128" s="64"/>
      <c r="U128" s="65"/>
      <c r="V128" s="64"/>
      <c r="W128" s="65"/>
      <c r="X128" s="64"/>
      <c r="Y128" s="65"/>
      <c r="Z128" s="13">
        <f>SUM(B128:Y128)</f>
        <v>0</v>
      </c>
      <c r="AA128" s="5"/>
    </row>
    <row r="129" spans="1:27" ht="18" customHeight="1" thickBot="1">
      <c r="A129" s="28" t="s">
        <v>0</v>
      </c>
      <c r="B129" s="74"/>
      <c r="C129" s="66"/>
      <c r="D129" s="66"/>
      <c r="E129" s="67"/>
      <c r="F129" s="66"/>
      <c r="G129" s="67"/>
      <c r="H129" s="66"/>
      <c r="I129" s="67"/>
      <c r="J129" s="66"/>
      <c r="K129" s="67"/>
      <c r="L129" s="66"/>
      <c r="M129" s="67"/>
      <c r="N129" s="66"/>
      <c r="O129" s="67"/>
      <c r="P129" s="66"/>
      <c r="Q129" s="67"/>
      <c r="R129" s="66"/>
      <c r="S129" s="67"/>
      <c r="T129" s="66"/>
      <c r="U129" s="67"/>
      <c r="V129" s="66"/>
      <c r="W129" s="67"/>
      <c r="X129" s="66"/>
      <c r="Y129" s="67"/>
      <c r="Z129" s="8">
        <f>SUM(B129:Y129)</f>
        <v>0</v>
      </c>
      <c r="AA129" s="18"/>
    </row>
    <row r="130" spans="1:27" ht="18" customHeight="1">
      <c r="A130" s="28" t="s">
        <v>35</v>
      </c>
      <c r="B130" s="7">
        <v>0</v>
      </c>
      <c r="C130" s="7">
        <v>0</v>
      </c>
      <c r="D130" s="7">
        <v>0</v>
      </c>
      <c r="E130" s="7">
        <v>0</v>
      </c>
      <c r="F130" s="7">
        <f>SUM(B128-B129)</f>
        <v>0</v>
      </c>
      <c r="G130" s="7">
        <f t="shared" ref="G130:U130" si="232">SUM(C128-C129)</f>
        <v>0</v>
      </c>
      <c r="H130" s="7">
        <f t="shared" si="232"/>
        <v>0</v>
      </c>
      <c r="I130" s="7">
        <f t="shared" si="232"/>
        <v>0</v>
      </c>
      <c r="J130" s="7">
        <f t="shared" si="232"/>
        <v>0</v>
      </c>
      <c r="K130" s="7">
        <f t="shared" si="232"/>
        <v>0</v>
      </c>
      <c r="L130" s="7">
        <f t="shared" si="232"/>
        <v>0</v>
      </c>
      <c r="M130" s="7">
        <f t="shared" si="232"/>
        <v>0</v>
      </c>
      <c r="N130" s="7">
        <f t="shared" si="232"/>
        <v>0</v>
      </c>
      <c r="O130" s="7">
        <f t="shared" si="232"/>
        <v>0</v>
      </c>
      <c r="P130" s="7">
        <f t="shared" si="232"/>
        <v>0</v>
      </c>
      <c r="Q130" s="7">
        <f t="shared" si="232"/>
        <v>0</v>
      </c>
      <c r="R130" s="7">
        <f t="shared" si="232"/>
        <v>0</v>
      </c>
      <c r="S130" s="7">
        <f t="shared" si="232"/>
        <v>0</v>
      </c>
      <c r="T130" s="7">
        <f t="shared" si="232"/>
        <v>0</v>
      </c>
      <c r="U130" s="7">
        <f t="shared" si="232"/>
        <v>0</v>
      </c>
      <c r="V130" s="7">
        <f t="shared" ref="V130" si="233">SUM(R128-R129)</f>
        <v>0</v>
      </c>
      <c r="W130" s="7">
        <f t="shared" ref="W130" si="234">SUM(S128-S129)</f>
        <v>0</v>
      </c>
      <c r="X130" s="7">
        <f t="shared" ref="X130" si="235">SUM(T128-T129)</f>
        <v>0</v>
      </c>
      <c r="Y130" s="7">
        <f t="shared" ref="Y130" si="236">SUM(U128-U129)</f>
        <v>0</v>
      </c>
      <c r="Z130" s="8">
        <f>SUM(B130:Y130)</f>
        <v>0</v>
      </c>
      <c r="AA130" s="18">
        <f>SUM(Z129:Z130)</f>
        <v>0</v>
      </c>
    </row>
    <row r="131" spans="1:27" ht="17.25" customHeight="1" thickBot="1">
      <c r="A131" s="29" t="s">
        <v>39</v>
      </c>
      <c r="B131" s="325">
        <f>SUM(B130+C130)</f>
        <v>0</v>
      </c>
      <c r="C131" s="316"/>
      <c r="D131" s="315">
        <f t="shared" ref="D131" si="237">SUM(D130+E130)</f>
        <v>0</v>
      </c>
      <c r="E131" s="316"/>
      <c r="F131" s="315">
        <f t="shared" ref="F131" si="238">SUM(F130+G130)</f>
        <v>0</v>
      </c>
      <c r="G131" s="316"/>
      <c r="H131" s="315">
        <f t="shared" ref="H131" si="239">SUM(H130+I130)</f>
        <v>0</v>
      </c>
      <c r="I131" s="316"/>
      <c r="J131" s="315">
        <f t="shared" ref="J131" si="240">SUM(J130+K130)</f>
        <v>0</v>
      </c>
      <c r="K131" s="316"/>
      <c r="L131" s="315">
        <f t="shared" ref="L131" si="241">SUM(L130+M130)</f>
        <v>0</v>
      </c>
      <c r="M131" s="316"/>
      <c r="N131" s="315">
        <f t="shared" ref="N131" si="242">SUM(N130+O130)</f>
        <v>0</v>
      </c>
      <c r="O131" s="316"/>
      <c r="P131" s="315">
        <f t="shared" ref="P131" si="243">SUM(P130+Q130)</f>
        <v>0</v>
      </c>
      <c r="Q131" s="316"/>
      <c r="R131" s="315">
        <f t="shared" ref="R131" si="244">SUM(R130+S130)</f>
        <v>0</v>
      </c>
      <c r="S131" s="316"/>
      <c r="T131" s="315">
        <f t="shared" ref="T131" si="245">SUM(T130+U130)</f>
        <v>0</v>
      </c>
      <c r="U131" s="316"/>
      <c r="V131" s="315">
        <f t="shared" ref="V131" si="246">SUM(V130+W130)</f>
        <v>0</v>
      </c>
      <c r="W131" s="316"/>
      <c r="X131" s="315">
        <f t="shared" ref="X131" si="247">SUM(X130+Y130)</f>
        <v>0</v>
      </c>
      <c r="Y131" s="316"/>
      <c r="Z131" s="78"/>
      <c r="AA131" s="79"/>
    </row>
    <row r="132" spans="1:27" ht="18" customHeight="1" thickBot="1">
      <c r="A132" s="326" t="s">
        <v>69</v>
      </c>
      <c r="B132" s="317" t="s">
        <v>38</v>
      </c>
      <c r="C132" s="318"/>
      <c r="D132" s="317" t="s">
        <v>38</v>
      </c>
      <c r="E132" s="318"/>
      <c r="F132" s="317" t="s">
        <v>38</v>
      </c>
      <c r="G132" s="318"/>
      <c r="H132" s="317" t="s">
        <v>38</v>
      </c>
      <c r="I132" s="318"/>
      <c r="J132" s="317" t="s">
        <v>38</v>
      </c>
      <c r="K132" s="318"/>
      <c r="L132" s="317" t="s">
        <v>38</v>
      </c>
      <c r="M132" s="318"/>
      <c r="N132" s="317" t="s">
        <v>38</v>
      </c>
      <c r="O132" s="318"/>
      <c r="P132" s="317" t="s">
        <v>38</v>
      </c>
      <c r="Q132" s="318"/>
      <c r="R132" s="317" t="s">
        <v>38</v>
      </c>
      <c r="S132" s="318"/>
      <c r="T132" s="317" t="s">
        <v>38</v>
      </c>
      <c r="U132" s="318"/>
      <c r="V132" s="317" t="s">
        <v>38</v>
      </c>
      <c r="W132" s="318"/>
      <c r="X132" s="317" t="s">
        <v>38</v>
      </c>
      <c r="Y132" s="318"/>
      <c r="Z132" s="54" t="s">
        <v>11</v>
      </c>
      <c r="AA132" s="52" t="s">
        <v>13</v>
      </c>
    </row>
    <row r="133" spans="1:27" ht="18" customHeight="1" thickBot="1">
      <c r="A133" s="327"/>
      <c r="B133" s="56" t="s">
        <v>2</v>
      </c>
      <c r="C133" s="57" t="s">
        <v>3</v>
      </c>
      <c r="D133" s="58" t="s">
        <v>2</v>
      </c>
      <c r="E133" s="59" t="s">
        <v>3</v>
      </c>
      <c r="F133" s="56" t="s">
        <v>2</v>
      </c>
      <c r="G133" s="57" t="s">
        <v>3</v>
      </c>
      <c r="H133" s="58" t="s">
        <v>2</v>
      </c>
      <c r="I133" s="59" t="s">
        <v>3</v>
      </c>
      <c r="J133" s="56" t="s">
        <v>2</v>
      </c>
      <c r="K133" s="57" t="s">
        <v>3</v>
      </c>
      <c r="L133" s="58" t="s">
        <v>2</v>
      </c>
      <c r="M133" s="59" t="s">
        <v>3</v>
      </c>
      <c r="N133" s="56" t="s">
        <v>2</v>
      </c>
      <c r="O133" s="57" t="s">
        <v>3</v>
      </c>
      <c r="P133" s="58" t="s">
        <v>2</v>
      </c>
      <c r="Q133" s="59" t="s">
        <v>3</v>
      </c>
      <c r="R133" s="56" t="s">
        <v>2</v>
      </c>
      <c r="S133" s="57" t="s">
        <v>3</v>
      </c>
      <c r="T133" s="58" t="s">
        <v>2</v>
      </c>
      <c r="U133" s="59" t="s">
        <v>3</v>
      </c>
      <c r="V133" s="58" t="s">
        <v>2</v>
      </c>
      <c r="W133" s="59" t="s">
        <v>3</v>
      </c>
      <c r="X133" s="58" t="s">
        <v>2</v>
      </c>
      <c r="Y133" s="59" t="s">
        <v>3</v>
      </c>
      <c r="Z133" s="53"/>
      <c r="AA133" s="51"/>
    </row>
    <row r="134" spans="1:27" ht="18" customHeight="1">
      <c r="A134" s="75" t="s">
        <v>4</v>
      </c>
      <c r="B134" s="65"/>
      <c r="C134" s="65"/>
      <c r="D134" s="64"/>
      <c r="E134" s="65"/>
      <c r="F134" s="64"/>
      <c r="G134" s="65"/>
      <c r="H134" s="64"/>
      <c r="I134" s="65"/>
      <c r="J134" s="64"/>
      <c r="K134" s="65"/>
      <c r="L134" s="64"/>
      <c r="M134" s="65"/>
      <c r="N134" s="64"/>
      <c r="O134" s="65"/>
      <c r="P134" s="64"/>
      <c r="Q134" s="65"/>
      <c r="R134" s="64"/>
      <c r="S134" s="65"/>
      <c r="T134" s="64"/>
      <c r="U134" s="65"/>
      <c r="V134" s="64"/>
      <c r="W134" s="65"/>
      <c r="X134" s="64"/>
      <c r="Y134" s="65"/>
      <c r="Z134" s="7">
        <f>SUM(B134:Y134)</f>
        <v>0</v>
      </c>
      <c r="AA134" s="10"/>
    </row>
    <row r="135" spans="1:27" ht="18" customHeight="1" thickBot="1">
      <c r="A135" s="76" t="s">
        <v>37</v>
      </c>
      <c r="B135" s="67"/>
      <c r="C135" s="67"/>
      <c r="D135" s="66"/>
      <c r="E135" s="67"/>
      <c r="F135" s="66"/>
      <c r="G135" s="67"/>
      <c r="H135" s="66"/>
      <c r="I135" s="67"/>
      <c r="J135" s="66"/>
      <c r="K135" s="67"/>
      <c r="L135" s="66"/>
      <c r="M135" s="67"/>
      <c r="N135" s="66"/>
      <c r="O135" s="67"/>
      <c r="P135" s="66"/>
      <c r="Q135" s="67"/>
      <c r="R135" s="66"/>
      <c r="S135" s="67"/>
      <c r="T135" s="66"/>
      <c r="U135" s="67"/>
      <c r="V135" s="66"/>
      <c r="W135" s="67"/>
      <c r="X135" s="66"/>
      <c r="Y135" s="67"/>
      <c r="Z135" s="11">
        <f>SUM(B135:Y135)</f>
        <v>0</v>
      </c>
      <c r="AA135" s="9">
        <f>SUM(Z134:Z135)</f>
        <v>0</v>
      </c>
    </row>
    <row r="136" spans="1:27" ht="18" customHeight="1">
      <c r="A136" s="77" t="s">
        <v>34</v>
      </c>
      <c r="B136" s="73"/>
      <c r="C136" s="64"/>
      <c r="D136" s="64"/>
      <c r="E136" s="65"/>
      <c r="F136" s="64"/>
      <c r="G136" s="65"/>
      <c r="H136" s="64"/>
      <c r="I136" s="65"/>
      <c r="J136" s="64"/>
      <c r="K136" s="65"/>
      <c r="L136" s="64"/>
      <c r="M136" s="65"/>
      <c r="N136" s="64"/>
      <c r="O136" s="65"/>
      <c r="P136" s="64"/>
      <c r="Q136" s="65"/>
      <c r="R136" s="64"/>
      <c r="S136" s="65"/>
      <c r="T136" s="64"/>
      <c r="U136" s="65"/>
      <c r="V136" s="64"/>
      <c r="W136" s="65"/>
      <c r="X136" s="64"/>
      <c r="Y136" s="65"/>
      <c r="Z136" s="13">
        <f>SUM(B136:Y136)</f>
        <v>0</v>
      </c>
      <c r="AA136" s="5"/>
    </row>
    <row r="137" spans="1:27" ht="18" customHeight="1" thickBot="1">
      <c r="A137" s="28" t="s">
        <v>0</v>
      </c>
      <c r="B137" s="74"/>
      <c r="C137" s="66"/>
      <c r="D137" s="66"/>
      <c r="E137" s="67"/>
      <c r="F137" s="66"/>
      <c r="G137" s="67"/>
      <c r="H137" s="66"/>
      <c r="I137" s="67"/>
      <c r="J137" s="66"/>
      <c r="K137" s="67"/>
      <c r="L137" s="66"/>
      <c r="M137" s="67"/>
      <c r="N137" s="66"/>
      <c r="O137" s="67"/>
      <c r="P137" s="66"/>
      <c r="Q137" s="67"/>
      <c r="R137" s="66"/>
      <c r="S137" s="67"/>
      <c r="T137" s="66"/>
      <c r="U137" s="67"/>
      <c r="V137" s="66"/>
      <c r="W137" s="67"/>
      <c r="X137" s="66"/>
      <c r="Y137" s="67"/>
      <c r="Z137" s="8">
        <f>SUM(B137:Y137)</f>
        <v>0</v>
      </c>
      <c r="AA137" s="18"/>
    </row>
    <row r="138" spans="1:27" ht="18" customHeight="1">
      <c r="A138" s="28" t="s">
        <v>35</v>
      </c>
      <c r="B138" s="7">
        <v>0</v>
      </c>
      <c r="C138" s="7">
        <v>0</v>
      </c>
      <c r="D138" s="7">
        <v>0</v>
      </c>
      <c r="E138" s="7">
        <v>0</v>
      </c>
      <c r="F138" s="7">
        <f>SUM(B136-B137)</f>
        <v>0</v>
      </c>
      <c r="G138" s="7">
        <f t="shared" ref="G138:U138" si="248">SUM(C136-C137)</f>
        <v>0</v>
      </c>
      <c r="H138" s="7">
        <f t="shared" si="248"/>
        <v>0</v>
      </c>
      <c r="I138" s="7">
        <f t="shared" si="248"/>
        <v>0</v>
      </c>
      <c r="J138" s="7">
        <f t="shared" si="248"/>
        <v>0</v>
      </c>
      <c r="K138" s="7">
        <f t="shared" si="248"/>
        <v>0</v>
      </c>
      <c r="L138" s="7">
        <f t="shared" si="248"/>
        <v>0</v>
      </c>
      <c r="M138" s="7">
        <f t="shared" si="248"/>
        <v>0</v>
      </c>
      <c r="N138" s="7">
        <f t="shared" si="248"/>
        <v>0</v>
      </c>
      <c r="O138" s="7">
        <f t="shared" si="248"/>
        <v>0</v>
      </c>
      <c r="P138" s="7">
        <f t="shared" si="248"/>
        <v>0</v>
      </c>
      <c r="Q138" s="7">
        <f t="shared" si="248"/>
        <v>0</v>
      </c>
      <c r="R138" s="7">
        <f t="shared" si="248"/>
        <v>0</v>
      </c>
      <c r="S138" s="7">
        <f t="shared" si="248"/>
        <v>0</v>
      </c>
      <c r="T138" s="7">
        <f t="shared" si="248"/>
        <v>0</v>
      </c>
      <c r="U138" s="7">
        <f t="shared" si="248"/>
        <v>0</v>
      </c>
      <c r="V138" s="7">
        <f t="shared" ref="V138" si="249">SUM(R136-R137)</f>
        <v>0</v>
      </c>
      <c r="W138" s="7">
        <f t="shared" ref="W138" si="250">SUM(S136-S137)</f>
        <v>0</v>
      </c>
      <c r="X138" s="7">
        <f t="shared" ref="X138" si="251">SUM(T136-T137)</f>
        <v>0</v>
      </c>
      <c r="Y138" s="7">
        <f t="shared" ref="Y138" si="252">SUM(U136-U137)</f>
        <v>0</v>
      </c>
      <c r="Z138" s="8">
        <f>SUM(B138:Y138)</f>
        <v>0</v>
      </c>
      <c r="AA138" s="18">
        <f>SUM(Z137:Z138)</f>
        <v>0</v>
      </c>
    </row>
    <row r="139" spans="1:27" ht="17.25" customHeight="1" thickBot="1">
      <c r="A139" s="29" t="s">
        <v>39</v>
      </c>
      <c r="B139" s="325">
        <f>SUM(B138+C138)</f>
        <v>0</v>
      </c>
      <c r="C139" s="316"/>
      <c r="D139" s="315">
        <f t="shared" ref="D139" si="253">SUM(D138+E138)</f>
        <v>0</v>
      </c>
      <c r="E139" s="316"/>
      <c r="F139" s="315">
        <f t="shared" ref="F139" si="254">SUM(F138+G138)</f>
        <v>0</v>
      </c>
      <c r="G139" s="316"/>
      <c r="H139" s="315">
        <f t="shared" ref="H139" si="255">SUM(H138+I138)</f>
        <v>0</v>
      </c>
      <c r="I139" s="316"/>
      <c r="J139" s="315">
        <f t="shared" ref="J139" si="256">SUM(J138+K138)</f>
        <v>0</v>
      </c>
      <c r="K139" s="316"/>
      <c r="L139" s="315">
        <f t="shared" ref="L139" si="257">SUM(L138+M138)</f>
        <v>0</v>
      </c>
      <c r="M139" s="316"/>
      <c r="N139" s="315">
        <f t="shared" ref="N139" si="258">SUM(N138+O138)</f>
        <v>0</v>
      </c>
      <c r="O139" s="316"/>
      <c r="P139" s="315">
        <f t="shared" ref="P139" si="259">SUM(P138+Q138)</f>
        <v>0</v>
      </c>
      <c r="Q139" s="316"/>
      <c r="R139" s="315">
        <f t="shared" ref="R139" si="260">SUM(R138+S138)</f>
        <v>0</v>
      </c>
      <c r="S139" s="316"/>
      <c r="T139" s="315">
        <f t="shared" ref="T139" si="261">SUM(T138+U138)</f>
        <v>0</v>
      </c>
      <c r="U139" s="316"/>
      <c r="V139" s="315">
        <f t="shared" ref="V139" si="262">SUM(V138+W138)</f>
        <v>0</v>
      </c>
      <c r="W139" s="316"/>
      <c r="X139" s="315">
        <f t="shared" ref="X139" si="263">SUM(X138+Y138)</f>
        <v>0</v>
      </c>
      <c r="Y139" s="316"/>
      <c r="Z139" s="78"/>
      <c r="AA139" s="79"/>
    </row>
    <row r="140" spans="1:27" ht="18" customHeight="1" thickBot="1">
      <c r="A140" s="326" t="s">
        <v>70</v>
      </c>
      <c r="B140" s="317" t="s">
        <v>38</v>
      </c>
      <c r="C140" s="318"/>
      <c r="D140" s="317" t="s">
        <v>38</v>
      </c>
      <c r="E140" s="318"/>
      <c r="F140" s="317" t="s">
        <v>38</v>
      </c>
      <c r="G140" s="318"/>
      <c r="H140" s="317" t="s">
        <v>38</v>
      </c>
      <c r="I140" s="318"/>
      <c r="J140" s="317" t="s">
        <v>38</v>
      </c>
      <c r="K140" s="318"/>
      <c r="L140" s="317" t="s">
        <v>38</v>
      </c>
      <c r="M140" s="318"/>
      <c r="N140" s="317" t="s">
        <v>38</v>
      </c>
      <c r="O140" s="318"/>
      <c r="P140" s="317" t="s">
        <v>38</v>
      </c>
      <c r="Q140" s="318"/>
      <c r="R140" s="317" t="s">
        <v>38</v>
      </c>
      <c r="S140" s="318"/>
      <c r="T140" s="317" t="s">
        <v>38</v>
      </c>
      <c r="U140" s="318"/>
      <c r="V140" s="317" t="s">
        <v>38</v>
      </c>
      <c r="W140" s="318"/>
      <c r="X140" s="317" t="s">
        <v>38</v>
      </c>
      <c r="Y140" s="318"/>
      <c r="Z140" s="54" t="s">
        <v>11</v>
      </c>
      <c r="AA140" s="52" t="s">
        <v>13</v>
      </c>
    </row>
    <row r="141" spans="1:27" ht="18" customHeight="1" thickBot="1">
      <c r="A141" s="327"/>
      <c r="B141" s="56" t="s">
        <v>2</v>
      </c>
      <c r="C141" s="57" t="s">
        <v>3</v>
      </c>
      <c r="D141" s="58" t="s">
        <v>2</v>
      </c>
      <c r="E141" s="59" t="s">
        <v>3</v>
      </c>
      <c r="F141" s="56" t="s">
        <v>2</v>
      </c>
      <c r="G141" s="57" t="s">
        <v>3</v>
      </c>
      <c r="H141" s="58" t="s">
        <v>2</v>
      </c>
      <c r="I141" s="59" t="s">
        <v>3</v>
      </c>
      <c r="J141" s="56" t="s">
        <v>2</v>
      </c>
      <c r="K141" s="57" t="s">
        <v>3</v>
      </c>
      <c r="L141" s="58" t="s">
        <v>2</v>
      </c>
      <c r="M141" s="59" t="s">
        <v>3</v>
      </c>
      <c r="N141" s="56" t="s">
        <v>2</v>
      </c>
      <c r="O141" s="57" t="s">
        <v>3</v>
      </c>
      <c r="P141" s="58" t="s">
        <v>2</v>
      </c>
      <c r="Q141" s="59" t="s">
        <v>3</v>
      </c>
      <c r="R141" s="56" t="s">
        <v>2</v>
      </c>
      <c r="S141" s="57" t="s">
        <v>3</v>
      </c>
      <c r="T141" s="58" t="s">
        <v>2</v>
      </c>
      <c r="U141" s="59" t="s">
        <v>3</v>
      </c>
      <c r="V141" s="58" t="s">
        <v>2</v>
      </c>
      <c r="W141" s="59" t="s">
        <v>3</v>
      </c>
      <c r="X141" s="58" t="s">
        <v>2</v>
      </c>
      <c r="Y141" s="59" t="s">
        <v>3</v>
      </c>
      <c r="Z141" s="53"/>
      <c r="AA141" s="51"/>
    </row>
    <row r="142" spans="1:27" ht="18" customHeight="1">
      <c r="A142" s="75" t="s">
        <v>4</v>
      </c>
      <c r="B142" s="65"/>
      <c r="C142" s="65"/>
      <c r="D142" s="64"/>
      <c r="E142" s="65"/>
      <c r="F142" s="64"/>
      <c r="G142" s="65"/>
      <c r="H142" s="64"/>
      <c r="I142" s="65"/>
      <c r="J142" s="64"/>
      <c r="K142" s="65"/>
      <c r="L142" s="64"/>
      <c r="M142" s="65"/>
      <c r="N142" s="64"/>
      <c r="O142" s="65"/>
      <c r="P142" s="64"/>
      <c r="Q142" s="65"/>
      <c r="R142" s="64"/>
      <c r="S142" s="65"/>
      <c r="T142" s="64"/>
      <c r="U142" s="65"/>
      <c r="V142" s="64"/>
      <c r="W142" s="65"/>
      <c r="X142" s="64"/>
      <c r="Y142" s="65"/>
      <c r="Z142" s="7">
        <f>SUM(B142:Y142)</f>
        <v>0</v>
      </c>
      <c r="AA142" s="10"/>
    </row>
    <row r="143" spans="1:27" ht="18" customHeight="1" thickBot="1">
      <c r="A143" s="76" t="s">
        <v>37</v>
      </c>
      <c r="B143" s="67"/>
      <c r="C143" s="67"/>
      <c r="D143" s="66"/>
      <c r="E143" s="67"/>
      <c r="F143" s="66"/>
      <c r="G143" s="67"/>
      <c r="H143" s="66"/>
      <c r="I143" s="67"/>
      <c r="J143" s="66"/>
      <c r="K143" s="67"/>
      <c r="L143" s="66"/>
      <c r="M143" s="67"/>
      <c r="N143" s="66"/>
      <c r="O143" s="67"/>
      <c r="P143" s="66"/>
      <c r="Q143" s="67"/>
      <c r="R143" s="66"/>
      <c r="S143" s="67"/>
      <c r="T143" s="66"/>
      <c r="U143" s="67"/>
      <c r="V143" s="66"/>
      <c r="W143" s="67"/>
      <c r="X143" s="66"/>
      <c r="Y143" s="67"/>
      <c r="Z143" s="11">
        <f>SUM(B143:Y143)</f>
        <v>0</v>
      </c>
      <c r="AA143" s="9">
        <f>SUM(Z142:Z143)</f>
        <v>0</v>
      </c>
    </row>
    <row r="144" spans="1:27" ht="18" customHeight="1">
      <c r="A144" s="77" t="s">
        <v>34</v>
      </c>
      <c r="B144" s="73"/>
      <c r="C144" s="64"/>
      <c r="D144" s="64"/>
      <c r="E144" s="65"/>
      <c r="F144" s="64"/>
      <c r="G144" s="65"/>
      <c r="H144" s="64"/>
      <c r="I144" s="65"/>
      <c r="J144" s="64"/>
      <c r="K144" s="65"/>
      <c r="L144" s="64"/>
      <c r="M144" s="65"/>
      <c r="N144" s="64"/>
      <c r="O144" s="65"/>
      <c r="P144" s="64"/>
      <c r="Q144" s="65"/>
      <c r="R144" s="64"/>
      <c r="S144" s="65"/>
      <c r="T144" s="64"/>
      <c r="U144" s="65"/>
      <c r="V144" s="64"/>
      <c r="W144" s="65"/>
      <c r="X144" s="64"/>
      <c r="Y144" s="65"/>
      <c r="Z144" s="13">
        <f>SUM(B144:Y144)</f>
        <v>0</v>
      </c>
      <c r="AA144" s="5"/>
    </row>
    <row r="145" spans="1:27" ht="18" customHeight="1" thickBot="1">
      <c r="A145" s="28" t="s">
        <v>0</v>
      </c>
      <c r="B145" s="74"/>
      <c r="C145" s="66"/>
      <c r="D145" s="66"/>
      <c r="E145" s="67"/>
      <c r="F145" s="66"/>
      <c r="G145" s="67"/>
      <c r="H145" s="66"/>
      <c r="I145" s="67"/>
      <c r="J145" s="66"/>
      <c r="K145" s="67"/>
      <c r="L145" s="66"/>
      <c r="M145" s="67"/>
      <c r="N145" s="66"/>
      <c r="O145" s="67"/>
      <c r="P145" s="66"/>
      <c r="Q145" s="67"/>
      <c r="R145" s="66"/>
      <c r="S145" s="67"/>
      <c r="T145" s="66"/>
      <c r="U145" s="67"/>
      <c r="V145" s="66"/>
      <c r="W145" s="67"/>
      <c r="X145" s="66"/>
      <c r="Y145" s="67"/>
      <c r="Z145" s="8">
        <f>SUM(B145:Y145)</f>
        <v>0</v>
      </c>
      <c r="AA145" s="18"/>
    </row>
    <row r="146" spans="1:27" ht="18" customHeight="1">
      <c r="A146" s="28" t="s">
        <v>35</v>
      </c>
      <c r="B146" s="7">
        <v>0</v>
      </c>
      <c r="C146" s="7">
        <v>0</v>
      </c>
      <c r="D146" s="7">
        <v>0</v>
      </c>
      <c r="E146" s="7">
        <v>0</v>
      </c>
      <c r="F146" s="7">
        <f>SUM(B144-B145)</f>
        <v>0</v>
      </c>
      <c r="G146" s="7">
        <f t="shared" ref="G146" si="264">SUM(C144-C145)</f>
        <v>0</v>
      </c>
      <c r="H146" s="7">
        <f t="shared" ref="H146" si="265">SUM(D144-D145)</f>
        <v>0</v>
      </c>
      <c r="I146" s="7">
        <f t="shared" ref="I146" si="266">SUM(E144-E145)</f>
        <v>0</v>
      </c>
      <c r="J146" s="7">
        <f t="shared" ref="J146" si="267">SUM(F144-F145)</f>
        <v>0</v>
      </c>
      <c r="K146" s="7">
        <f t="shared" ref="K146" si="268">SUM(G144-G145)</f>
        <v>0</v>
      </c>
      <c r="L146" s="7">
        <f t="shared" ref="L146" si="269">SUM(H144-H145)</f>
        <v>0</v>
      </c>
      <c r="M146" s="7">
        <f t="shared" ref="M146" si="270">SUM(I144-I145)</f>
        <v>0</v>
      </c>
      <c r="N146" s="7">
        <f t="shared" ref="N146" si="271">SUM(J144-J145)</f>
        <v>0</v>
      </c>
      <c r="O146" s="7">
        <f t="shared" ref="O146" si="272">SUM(K144-K145)</f>
        <v>0</v>
      </c>
      <c r="P146" s="7">
        <f t="shared" ref="P146" si="273">SUM(L144-L145)</f>
        <v>0</v>
      </c>
      <c r="Q146" s="7">
        <f t="shared" ref="Q146" si="274">SUM(M144-M145)</f>
        <v>0</v>
      </c>
      <c r="R146" s="7">
        <f t="shared" ref="R146" si="275">SUM(N144-N145)</f>
        <v>0</v>
      </c>
      <c r="S146" s="7">
        <f t="shared" ref="S146" si="276">SUM(O144-O145)</f>
        <v>0</v>
      </c>
      <c r="T146" s="7">
        <f t="shared" ref="T146" si="277">SUM(P144-P145)</f>
        <v>0</v>
      </c>
      <c r="U146" s="7">
        <f t="shared" ref="U146" si="278">SUM(Q144-Q145)</f>
        <v>0</v>
      </c>
      <c r="V146" s="7">
        <f t="shared" ref="V146" si="279">SUM(R144-R145)</f>
        <v>0</v>
      </c>
      <c r="W146" s="7">
        <f t="shared" ref="W146" si="280">SUM(S144-S145)</f>
        <v>0</v>
      </c>
      <c r="X146" s="7">
        <f t="shared" ref="X146" si="281">SUM(T144-T145)</f>
        <v>0</v>
      </c>
      <c r="Y146" s="7">
        <f t="shared" ref="Y146" si="282">SUM(U144-U145)</f>
        <v>0</v>
      </c>
      <c r="Z146" s="8">
        <f>SUM(B146:Y146)</f>
        <v>0</v>
      </c>
      <c r="AA146" s="18">
        <f>SUM(Z145:Z146)</f>
        <v>0</v>
      </c>
    </row>
    <row r="147" spans="1:27" ht="17.25" customHeight="1" thickBot="1">
      <c r="A147" s="29" t="s">
        <v>39</v>
      </c>
      <c r="B147" s="325">
        <f>SUM(B146+C146)</f>
        <v>0</v>
      </c>
      <c r="C147" s="316"/>
      <c r="D147" s="315">
        <f t="shared" ref="D147" si="283">SUM(D146+E146)</f>
        <v>0</v>
      </c>
      <c r="E147" s="316"/>
      <c r="F147" s="315">
        <f t="shared" ref="F147" si="284">SUM(F146+G146)</f>
        <v>0</v>
      </c>
      <c r="G147" s="316"/>
      <c r="H147" s="315">
        <f t="shared" ref="H147" si="285">SUM(H146+I146)</f>
        <v>0</v>
      </c>
      <c r="I147" s="316"/>
      <c r="J147" s="315">
        <f t="shared" ref="J147" si="286">SUM(J146+K146)</f>
        <v>0</v>
      </c>
      <c r="K147" s="316"/>
      <c r="L147" s="315">
        <f t="shared" ref="L147" si="287">SUM(L146+M146)</f>
        <v>0</v>
      </c>
      <c r="M147" s="316"/>
      <c r="N147" s="315">
        <f t="shared" ref="N147" si="288">SUM(N146+O146)</f>
        <v>0</v>
      </c>
      <c r="O147" s="316"/>
      <c r="P147" s="315">
        <f t="shared" ref="P147" si="289">SUM(P146+Q146)</f>
        <v>0</v>
      </c>
      <c r="Q147" s="316"/>
      <c r="R147" s="315">
        <f t="shared" ref="R147" si="290">SUM(R146+S146)</f>
        <v>0</v>
      </c>
      <c r="S147" s="316"/>
      <c r="T147" s="315">
        <f t="shared" ref="T147" si="291">SUM(T146+U146)</f>
        <v>0</v>
      </c>
      <c r="U147" s="316"/>
      <c r="V147" s="315">
        <f t="shared" ref="V147" si="292">SUM(V146+W146)</f>
        <v>0</v>
      </c>
      <c r="W147" s="316"/>
      <c r="X147" s="315">
        <f t="shared" ref="X147" si="293">SUM(X146+Y146)</f>
        <v>0</v>
      </c>
      <c r="Y147" s="316"/>
      <c r="Z147" s="78"/>
      <c r="AA147" s="79"/>
    </row>
    <row r="148" spans="1:27" ht="18" customHeight="1" thickBot="1">
      <c r="A148" s="326" t="s">
        <v>86</v>
      </c>
      <c r="B148" s="317" t="s">
        <v>38</v>
      </c>
      <c r="C148" s="318"/>
      <c r="D148" s="317" t="s">
        <v>38</v>
      </c>
      <c r="E148" s="318"/>
      <c r="F148" s="317" t="s">
        <v>38</v>
      </c>
      <c r="G148" s="318"/>
      <c r="H148" s="317" t="s">
        <v>38</v>
      </c>
      <c r="I148" s="318"/>
      <c r="J148" s="317" t="s">
        <v>38</v>
      </c>
      <c r="K148" s="318"/>
      <c r="L148" s="317" t="s">
        <v>38</v>
      </c>
      <c r="M148" s="318"/>
      <c r="N148" s="317" t="s">
        <v>38</v>
      </c>
      <c r="O148" s="318"/>
      <c r="P148" s="317" t="s">
        <v>38</v>
      </c>
      <c r="Q148" s="318"/>
      <c r="R148" s="317" t="s">
        <v>38</v>
      </c>
      <c r="S148" s="318"/>
      <c r="T148" s="317" t="s">
        <v>38</v>
      </c>
      <c r="U148" s="318"/>
      <c r="V148" s="317" t="s">
        <v>38</v>
      </c>
      <c r="W148" s="318"/>
      <c r="X148" s="317" t="s">
        <v>38</v>
      </c>
      <c r="Y148" s="318"/>
      <c r="Z148" s="54" t="s">
        <v>11</v>
      </c>
      <c r="AA148" s="52" t="s">
        <v>13</v>
      </c>
    </row>
    <row r="149" spans="1:27" ht="18" customHeight="1" thickBot="1">
      <c r="A149" s="327"/>
      <c r="B149" s="56" t="s">
        <v>2</v>
      </c>
      <c r="C149" s="57" t="s">
        <v>3</v>
      </c>
      <c r="D149" s="58" t="s">
        <v>2</v>
      </c>
      <c r="E149" s="59" t="s">
        <v>3</v>
      </c>
      <c r="F149" s="56" t="s">
        <v>2</v>
      </c>
      <c r="G149" s="57" t="s">
        <v>3</v>
      </c>
      <c r="H149" s="58" t="s">
        <v>2</v>
      </c>
      <c r="I149" s="59" t="s">
        <v>3</v>
      </c>
      <c r="J149" s="56" t="s">
        <v>2</v>
      </c>
      <c r="K149" s="57" t="s">
        <v>3</v>
      </c>
      <c r="L149" s="58" t="s">
        <v>2</v>
      </c>
      <c r="M149" s="59" t="s">
        <v>3</v>
      </c>
      <c r="N149" s="56" t="s">
        <v>2</v>
      </c>
      <c r="O149" s="57" t="s">
        <v>3</v>
      </c>
      <c r="P149" s="58" t="s">
        <v>2</v>
      </c>
      <c r="Q149" s="59" t="s">
        <v>3</v>
      </c>
      <c r="R149" s="56" t="s">
        <v>2</v>
      </c>
      <c r="S149" s="57" t="s">
        <v>3</v>
      </c>
      <c r="T149" s="58" t="s">
        <v>2</v>
      </c>
      <c r="U149" s="59" t="s">
        <v>3</v>
      </c>
      <c r="V149" s="58" t="s">
        <v>2</v>
      </c>
      <c r="W149" s="59" t="s">
        <v>3</v>
      </c>
      <c r="X149" s="58" t="s">
        <v>2</v>
      </c>
      <c r="Y149" s="59" t="s">
        <v>3</v>
      </c>
      <c r="Z149" s="53"/>
      <c r="AA149" s="51"/>
    </row>
    <row r="150" spans="1:27" ht="18" customHeight="1">
      <c r="A150" s="75" t="s">
        <v>4</v>
      </c>
      <c r="B150" s="65"/>
      <c r="C150" s="65"/>
      <c r="D150" s="64"/>
      <c r="E150" s="65"/>
      <c r="F150" s="64"/>
      <c r="G150" s="65"/>
      <c r="H150" s="64"/>
      <c r="I150" s="65"/>
      <c r="J150" s="64"/>
      <c r="K150" s="65"/>
      <c r="L150" s="64"/>
      <c r="M150" s="65"/>
      <c r="N150" s="64"/>
      <c r="O150" s="65"/>
      <c r="P150" s="64"/>
      <c r="Q150" s="65"/>
      <c r="R150" s="64"/>
      <c r="S150" s="65"/>
      <c r="T150" s="64"/>
      <c r="U150" s="65"/>
      <c r="V150" s="64"/>
      <c r="W150" s="65"/>
      <c r="X150" s="64"/>
      <c r="Y150" s="65"/>
      <c r="Z150" s="7">
        <f>SUM(B150:Y150)</f>
        <v>0</v>
      </c>
      <c r="AA150" s="10"/>
    </row>
    <row r="151" spans="1:27" ht="18" customHeight="1" thickBot="1">
      <c r="A151" s="76" t="s">
        <v>37</v>
      </c>
      <c r="B151" s="67"/>
      <c r="C151" s="67"/>
      <c r="D151" s="66"/>
      <c r="E151" s="67"/>
      <c r="F151" s="66"/>
      <c r="G151" s="67"/>
      <c r="H151" s="66"/>
      <c r="I151" s="67"/>
      <c r="J151" s="66"/>
      <c r="K151" s="67"/>
      <c r="L151" s="66"/>
      <c r="M151" s="67"/>
      <c r="N151" s="66"/>
      <c r="O151" s="67"/>
      <c r="P151" s="66"/>
      <c r="Q151" s="67"/>
      <c r="R151" s="66"/>
      <c r="S151" s="67"/>
      <c r="T151" s="66"/>
      <c r="U151" s="67"/>
      <c r="V151" s="66"/>
      <c r="W151" s="67"/>
      <c r="X151" s="66"/>
      <c r="Y151" s="67"/>
      <c r="Z151" s="11">
        <f>SUM(B151:Y151)</f>
        <v>0</v>
      </c>
      <c r="AA151" s="9">
        <f>SUM(Z150:Z151)</f>
        <v>0</v>
      </c>
    </row>
    <row r="152" spans="1:27" ht="18" customHeight="1">
      <c r="A152" s="77" t="s">
        <v>34</v>
      </c>
      <c r="B152" s="73"/>
      <c r="C152" s="64"/>
      <c r="D152" s="64"/>
      <c r="E152" s="65"/>
      <c r="F152" s="64"/>
      <c r="G152" s="65"/>
      <c r="H152" s="64"/>
      <c r="I152" s="65"/>
      <c r="J152" s="64"/>
      <c r="K152" s="65"/>
      <c r="L152" s="64"/>
      <c r="M152" s="65"/>
      <c r="N152" s="64"/>
      <c r="O152" s="65"/>
      <c r="P152" s="64"/>
      <c r="Q152" s="65"/>
      <c r="R152" s="64"/>
      <c r="S152" s="65"/>
      <c r="T152" s="64"/>
      <c r="U152" s="65"/>
      <c r="V152" s="64"/>
      <c r="W152" s="65"/>
      <c r="X152" s="64"/>
      <c r="Y152" s="65"/>
      <c r="Z152" s="13">
        <f>SUM(B152:Y152)</f>
        <v>0</v>
      </c>
      <c r="AA152" s="5"/>
    </row>
    <row r="153" spans="1:27" ht="18" customHeight="1" thickBot="1">
      <c r="A153" s="28" t="s">
        <v>0</v>
      </c>
      <c r="B153" s="74"/>
      <c r="C153" s="66"/>
      <c r="D153" s="66"/>
      <c r="E153" s="67"/>
      <c r="F153" s="66"/>
      <c r="G153" s="67"/>
      <c r="H153" s="66"/>
      <c r="I153" s="67"/>
      <c r="J153" s="66"/>
      <c r="K153" s="67"/>
      <c r="L153" s="66"/>
      <c r="M153" s="67"/>
      <c r="N153" s="66"/>
      <c r="O153" s="67"/>
      <c r="P153" s="66"/>
      <c r="Q153" s="67"/>
      <c r="R153" s="66"/>
      <c r="S153" s="67"/>
      <c r="T153" s="66"/>
      <c r="U153" s="67"/>
      <c r="V153" s="66"/>
      <c r="W153" s="67"/>
      <c r="X153" s="66"/>
      <c r="Y153" s="67"/>
      <c r="Z153" s="8">
        <f>SUM(B153:Y153)</f>
        <v>0</v>
      </c>
      <c r="AA153" s="18"/>
    </row>
    <row r="154" spans="1:27" ht="18" customHeight="1">
      <c r="A154" s="28" t="s">
        <v>35</v>
      </c>
      <c r="B154" s="7">
        <v>0</v>
      </c>
      <c r="C154" s="7">
        <v>0</v>
      </c>
      <c r="D154" s="7">
        <v>0</v>
      </c>
      <c r="E154" s="7">
        <v>0</v>
      </c>
      <c r="F154" s="7">
        <f>SUM(B152-B153)</f>
        <v>0</v>
      </c>
      <c r="G154" s="7">
        <f t="shared" ref="G154" si="294">SUM(C152-C153)</f>
        <v>0</v>
      </c>
      <c r="H154" s="7">
        <f t="shared" ref="H154" si="295">SUM(D152-D153)</f>
        <v>0</v>
      </c>
      <c r="I154" s="7">
        <f t="shared" ref="I154" si="296">SUM(E152-E153)</f>
        <v>0</v>
      </c>
      <c r="J154" s="7">
        <f t="shared" ref="J154" si="297">SUM(F152-F153)</f>
        <v>0</v>
      </c>
      <c r="K154" s="7">
        <f t="shared" ref="K154" si="298">SUM(G152-G153)</f>
        <v>0</v>
      </c>
      <c r="L154" s="7">
        <f t="shared" ref="L154" si="299">SUM(H152-H153)</f>
        <v>0</v>
      </c>
      <c r="M154" s="7">
        <f t="shared" ref="M154" si="300">SUM(I152-I153)</f>
        <v>0</v>
      </c>
      <c r="N154" s="7">
        <f t="shared" ref="N154" si="301">SUM(J152-J153)</f>
        <v>0</v>
      </c>
      <c r="O154" s="7">
        <f t="shared" ref="O154" si="302">SUM(K152-K153)</f>
        <v>0</v>
      </c>
      <c r="P154" s="7">
        <f t="shared" ref="P154" si="303">SUM(L152-L153)</f>
        <v>0</v>
      </c>
      <c r="Q154" s="7">
        <f t="shared" ref="Q154" si="304">SUM(M152-M153)</f>
        <v>0</v>
      </c>
      <c r="R154" s="7">
        <f t="shared" ref="R154" si="305">SUM(N152-N153)</f>
        <v>0</v>
      </c>
      <c r="S154" s="7">
        <f t="shared" ref="S154" si="306">SUM(O152-O153)</f>
        <v>0</v>
      </c>
      <c r="T154" s="7">
        <f t="shared" ref="T154" si="307">SUM(P152-P153)</f>
        <v>0</v>
      </c>
      <c r="U154" s="7">
        <f t="shared" ref="U154" si="308">SUM(Q152-Q153)</f>
        <v>0</v>
      </c>
      <c r="V154" s="7">
        <f t="shared" ref="V154" si="309">SUM(R152-R153)</f>
        <v>0</v>
      </c>
      <c r="W154" s="7">
        <f t="shared" ref="W154" si="310">SUM(S152-S153)</f>
        <v>0</v>
      </c>
      <c r="X154" s="7">
        <f t="shared" ref="X154" si="311">SUM(T152-T153)</f>
        <v>0</v>
      </c>
      <c r="Y154" s="7">
        <f t="shared" ref="Y154" si="312">SUM(U152-U153)</f>
        <v>0</v>
      </c>
      <c r="Z154" s="8">
        <f>SUM(B154:Y154)</f>
        <v>0</v>
      </c>
      <c r="AA154" s="18">
        <f>SUM(Z153:Z154)</f>
        <v>0</v>
      </c>
    </row>
    <row r="155" spans="1:27" ht="17.25" customHeight="1" thickBot="1">
      <c r="A155" s="29" t="s">
        <v>39</v>
      </c>
      <c r="B155" s="325">
        <f>SUM(B154+C154)</f>
        <v>0</v>
      </c>
      <c r="C155" s="316"/>
      <c r="D155" s="315">
        <f t="shared" ref="D155" si="313">SUM(D154+E154)</f>
        <v>0</v>
      </c>
      <c r="E155" s="316"/>
      <c r="F155" s="315">
        <f t="shared" ref="F155" si="314">SUM(F154+G154)</f>
        <v>0</v>
      </c>
      <c r="G155" s="316"/>
      <c r="H155" s="315">
        <f t="shared" ref="H155" si="315">SUM(H154+I154)</f>
        <v>0</v>
      </c>
      <c r="I155" s="316"/>
      <c r="J155" s="315">
        <f t="shared" ref="J155" si="316">SUM(J154+K154)</f>
        <v>0</v>
      </c>
      <c r="K155" s="316"/>
      <c r="L155" s="315">
        <f t="shared" ref="L155" si="317">SUM(L154+M154)</f>
        <v>0</v>
      </c>
      <c r="M155" s="316"/>
      <c r="N155" s="315">
        <f t="shared" ref="N155" si="318">SUM(N154+O154)</f>
        <v>0</v>
      </c>
      <c r="O155" s="316"/>
      <c r="P155" s="315">
        <f t="shared" ref="P155" si="319">SUM(P154+Q154)</f>
        <v>0</v>
      </c>
      <c r="Q155" s="316"/>
      <c r="R155" s="315">
        <f t="shared" ref="R155" si="320">SUM(R154+S154)</f>
        <v>0</v>
      </c>
      <c r="S155" s="316"/>
      <c r="T155" s="315">
        <f t="shared" ref="T155" si="321">SUM(T154+U154)</f>
        <v>0</v>
      </c>
      <c r="U155" s="316"/>
      <c r="V155" s="315">
        <f t="shared" ref="V155" si="322">SUM(V154+W154)</f>
        <v>0</v>
      </c>
      <c r="W155" s="316"/>
      <c r="X155" s="315">
        <f t="shared" ref="X155" si="323">SUM(X154+Y154)</f>
        <v>0</v>
      </c>
      <c r="Y155" s="316"/>
      <c r="Z155" s="78"/>
      <c r="AA155" s="79"/>
    </row>
    <row r="156" spans="1:27" ht="18" customHeight="1" thickBot="1">
      <c r="A156" s="326" t="s">
        <v>87</v>
      </c>
      <c r="B156" s="317" t="s">
        <v>38</v>
      </c>
      <c r="C156" s="318"/>
      <c r="D156" s="317" t="s">
        <v>38</v>
      </c>
      <c r="E156" s="318"/>
      <c r="F156" s="317" t="s">
        <v>38</v>
      </c>
      <c r="G156" s="318"/>
      <c r="H156" s="317" t="s">
        <v>38</v>
      </c>
      <c r="I156" s="318"/>
      <c r="J156" s="317" t="s">
        <v>38</v>
      </c>
      <c r="K156" s="318"/>
      <c r="L156" s="317" t="s">
        <v>38</v>
      </c>
      <c r="M156" s="318"/>
      <c r="N156" s="317" t="s">
        <v>38</v>
      </c>
      <c r="O156" s="318"/>
      <c r="P156" s="317" t="s">
        <v>38</v>
      </c>
      <c r="Q156" s="318"/>
      <c r="R156" s="317" t="s">
        <v>38</v>
      </c>
      <c r="S156" s="318"/>
      <c r="T156" s="317" t="s">
        <v>38</v>
      </c>
      <c r="U156" s="318"/>
      <c r="V156" s="317" t="s">
        <v>38</v>
      </c>
      <c r="W156" s="318"/>
      <c r="X156" s="317" t="s">
        <v>38</v>
      </c>
      <c r="Y156" s="318"/>
      <c r="Z156" s="54" t="s">
        <v>11</v>
      </c>
      <c r="AA156" s="52" t="s">
        <v>13</v>
      </c>
    </row>
    <row r="157" spans="1:27" ht="18" customHeight="1" thickBot="1">
      <c r="A157" s="327"/>
      <c r="B157" s="56" t="s">
        <v>2</v>
      </c>
      <c r="C157" s="57" t="s">
        <v>3</v>
      </c>
      <c r="D157" s="58" t="s">
        <v>2</v>
      </c>
      <c r="E157" s="59" t="s">
        <v>3</v>
      </c>
      <c r="F157" s="56" t="s">
        <v>2</v>
      </c>
      <c r="G157" s="57" t="s">
        <v>3</v>
      </c>
      <c r="H157" s="58" t="s">
        <v>2</v>
      </c>
      <c r="I157" s="59" t="s">
        <v>3</v>
      </c>
      <c r="J157" s="56" t="s">
        <v>2</v>
      </c>
      <c r="K157" s="57" t="s">
        <v>3</v>
      </c>
      <c r="L157" s="58" t="s">
        <v>2</v>
      </c>
      <c r="M157" s="59" t="s">
        <v>3</v>
      </c>
      <c r="N157" s="56" t="s">
        <v>2</v>
      </c>
      <c r="O157" s="57" t="s">
        <v>3</v>
      </c>
      <c r="P157" s="58" t="s">
        <v>2</v>
      </c>
      <c r="Q157" s="59" t="s">
        <v>3</v>
      </c>
      <c r="R157" s="56" t="s">
        <v>2</v>
      </c>
      <c r="S157" s="57" t="s">
        <v>3</v>
      </c>
      <c r="T157" s="58" t="s">
        <v>2</v>
      </c>
      <c r="U157" s="59" t="s">
        <v>3</v>
      </c>
      <c r="V157" s="58" t="s">
        <v>2</v>
      </c>
      <c r="W157" s="59" t="s">
        <v>3</v>
      </c>
      <c r="X157" s="58" t="s">
        <v>2</v>
      </c>
      <c r="Y157" s="59" t="s">
        <v>3</v>
      </c>
      <c r="Z157" s="53"/>
      <c r="AA157" s="51"/>
    </row>
    <row r="158" spans="1:27" ht="18" customHeight="1">
      <c r="A158" s="75" t="s">
        <v>4</v>
      </c>
      <c r="B158" s="65"/>
      <c r="C158" s="65"/>
      <c r="D158" s="64"/>
      <c r="E158" s="65"/>
      <c r="F158" s="64"/>
      <c r="G158" s="65"/>
      <c r="H158" s="64"/>
      <c r="I158" s="65"/>
      <c r="J158" s="64"/>
      <c r="K158" s="65"/>
      <c r="L158" s="64"/>
      <c r="M158" s="65"/>
      <c r="N158" s="64"/>
      <c r="O158" s="65"/>
      <c r="P158" s="64"/>
      <c r="Q158" s="65"/>
      <c r="R158" s="64"/>
      <c r="S158" s="65"/>
      <c r="T158" s="64"/>
      <c r="U158" s="65"/>
      <c r="V158" s="64"/>
      <c r="W158" s="65"/>
      <c r="X158" s="64"/>
      <c r="Y158" s="65"/>
      <c r="Z158" s="7">
        <f>SUM(B158:Y158)</f>
        <v>0</v>
      </c>
      <c r="AA158" s="10"/>
    </row>
    <row r="159" spans="1:27" ht="18" customHeight="1" thickBot="1">
      <c r="A159" s="76" t="s">
        <v>37</v>
      </c>
      <c r="B159" s="67"/>
      <c r="C159" s="67"/>
      <c r="D159" s="66"/>
      <c r="E159" s="67"/>
      <c r="F159" s="66"/>
      <c r="G159" s="67"/>
      <c r="H159" s="66"/>
      <c r="I159" s="67"/>
      <c r="J159" s="66"/>
      <c r="K159" s="67"/>
      <c r="L159" s="66"/>
      <c r="M159" s="67"/>
      <c r="N159" s="66"/>
      <c r="O159" s="67"/>
      <c r="P159" s="66"/>
      <c r="Q159" s="67"/>
      <c r="R159" s="66"/>
      <c r="S159" s="67"/>
      <c r="T159" s="66"/>
      <c r="U159" s="67"/>
      <c r="V159" s="66"/>
      <c r="W159" s="67"/>
      <c r="X159" s="66"/>
      <c r="Y159" s="67"/>
      <c r="Z159" s="11">
        <f>SUM(B159:Y159)</f>
        <v>0</v>
      </c>
      <c r="AA159" s="9">
        <f>SUM(Z158:Z159)</f>
        <v>0</v>
      </c>
    </row>
    <row r="160" spans="1:27" ht="18" customHeight="1">
      <c r="A160" s="77" t="s">
        <v>34</v>
      </c>
      <c r="B160" s="73"/>
      <c r="C160" s="64"/>
      <c r="D160" s="64"/>
      <c r="E160" s="65"/>
      <c r="F160" s="64"/>
      <c r="G160" s="65"/>
      <c r="H160" s="64"/>
      <c r="I160" s="65"/>
      <c r="J160" s="64"/>
      <c r="K160" s="65"/>
      <c r="L160" s="64"/>
      <c r="M160" s="65"/>
      <c r="N160" s="64"/>
      <c r="O160" s="65"/>
      <c r="P160" s="64"/>
      <c r="Q160" s="65"/>
      <c r="R160" s="64"/>
      <c r="S160" s="65"/>
      <c r="T160" s="64"/>
      <c r="U160" s="65"/>
      <c r="V160" s="64"/>
      <c r="W160" s="65"/>
      <c r="X160" s="64"/>
      <c r="Y160" s="65"/>
      <c r="Z160" s="13">
        <f>SUM(B160:Y160)</f>
        <v>0</v>
      </c>
      <c r="AA160" s="5"/>
    </row>
    <row r="161" spans="1:27" ht="18" customHeight="1" thickBot="1">
      <c r="A161" s="28" t="s">
        <v>0</v>
      </c>
      <c r="B161" s="74"/>
      <c r="C161" s="66"/>
      <c r="D161" s="66"/>
      <c r="E161" s="67"/>
      <c r="F161" s="66"/>
      <c r="G161" s="67"/>
      <c r="H161" s="66"/>
      <c r="I161" s="67"/>
      <c r="J161" s="66"/>
      <c r="K161" s="67"/>
      <c r="L161" s="66"/>
      <c r="M161" s="67"/>
      <c r="N161" s="66"/>
      <c r="O161" s="67"/>
      <c r="P161" s="66"/>
      <c r="Q161" s="67"/>
      <c r="R161" s="66"/>
      <c r="S161" s="67"/>
      <c r="T161" s="66"/>
      <c r="U161" s="67"/>
      <c r="V161" s="66"/>
      <c r="W161" s="67"/>
      <c r="X161" s="66"/>
      <c r="Y161" s="67"/>
      <c r="Z161" s="8">
        <f>SUM(B161:Y161)</f>
        <v>0</v>
      </c>
      <c r="AA161" s="18"/>
    </row>
    <row r="162" spans="1:27" ht="18" customHeight="1">
      <c r="A162" s="28" t="s">
        <v>35</v>
      </c>
      <c r="B162" s="7">
        <v>0</v>
      </c>
      <c r="C162" s="7">
        <v>0</v>
      </c>
      <c r="D162" s="7">
        <v>0</v>
      </c>
      <c r="E162" s="7">
        <v>0</v>
      </c>
      <c r="F162" s="7">
        <f>SUM(B160-B161)</f>
        <v>0</v>
      </c>
      <c r="G162" s="7">
        <f t="shared" ref="G162" si="324">SUM(C160-C161)</f>
        <v>0</v>
      </c>
      <c r="H162" s="7">
        <f t="shared" ref="H162" si="325">SUM(D160-D161)</f>
        <v>0</v>
      </c>
      <c r="I162" s="7">
        <f t="shared" ref="I162" si="326">SUM(E160-E161)</f>
        <v>0</v>
      </c>
      <c r="J162" s="7">
        <f t="shared" ref="J162" si="327">SUM(F160-F161)</f>
        <v>0</v>
      </c>
      <c r="K162" s="7">
        <f t="shared" ref="K162" si="328">SUM(G160-G161)</f>
        <v>0</v>
      </c>
      <c r="L162" s="7">
        <f t="shared" ref="L162" si="329">SUM(H160-H161)</f>
        <v>0</v>
      </c>
      <c r="M162" s="7">
        <f t="shared" ref="M162" si="330">SUM(I160-I161)</f>
        <v>0</v>
      </c>
      <c r="N162" s="7">
        <f t="shared" ref="N162" si="331">SUM(J160-J161)</f>
        <v>0</v>
      </c>
      <c r="O162" s="7">
        <f t="shared" ref="O162" si="332">SUM(K160-K161)</f>
        <v>0</v>
      </c>
      <c r="P162" s="7">
        <f t="shared" ref="P162" si="333">SUM(L160-L161)</f>
        <v>0</v>
      </c>
      <c r="Q162" s="7">
        <f t="shared" ref="Q162" si="334">SUM(M160-M161)</f>
        <v>0</v>
      </c>
      <c r="R162" s="7">
        <f t="shared" ref="R162" si="335">SUM(N160-N161)</f>
        <v>0</v>
      </c>
      <c r="S162" s="7">
        <f t="shared" ref="S162" si="336">SUM(O160-O161)</f>
        <v>0</v>
      </c>
      <c r="T162" s="7">
        <f t="shared" ref="T162" si="337">SUM(P160-P161)</f>
        <v>0</v>
      </c>
      <c r="U162" s="7">
        <f t="shared" ref="U162" si="338">SUM(Q160-Q161)</f>
        <v>0</v>
      </c>
      <c r="V162" s="7">
        <f t="shared" ref="V162" si="339">SUM(R160-R161)</f>
        <v>0</v>
      </c>
      <c r="W162" s="7">
        <f t="shared" ref="W162" si="340">SUM(S160-S161)</f>
        <v>0</v>
      </c>
      <c r="X162" s="7">
        <f t="shared" ref="X162" si="341">SUM(T160-T161)</f>
        <v>0</v>
      </c>
      <c r="Y162" s="7">
        <f t="shared" ref="Y162" si="342">SUM(U160-U161)</f>
        <v>0</v>
      </c>
      <c r="Z162" s="8">
        <f>SUM(B162:Y162)</f>
        <v>0</v>
      </c>
      <c r="AA162" s="18">
        <f>SUM(Z161:Z162)</f>
        <v>0</v>
      </c>
    </row>
    <row r="163" spans="1:27" ht="17.25" customHeight="1" thickBot="1">
      <c r="A163" s="29" t="s">
        <v>39</v>
      </c>
      <c r="B163" s="325">
        <f>SUM(B162+C162)</f>
        <v>0</v>
      </c>
      <c r="C163" s="316"/>
      <c r="D163" s="315">
        <f t="shared" ref="D163" si="343">SUM(D162+E162)</f>
        <v>0</v>
      </c>
      <c r="E163" s="316"/>
      <c r="F163" s="315">
        <f t="shared" ref="F163" si="344">SUM(F162+G162)</f>
        <v>0</v>
      </c>
      <c r="G163" s="316"/>
      <c r="H163" s="315">
        <f t="shared" ref="H163" si="345">SUM(H162+I162)</f>
        <v>0</v>
      </c>
      <c r="I163" s="316"/>
      <c r="J163" s="315">
        <f t="shared" ref="J163" si="346">SUM(J162+K162)</f>
        <v>0</v>
      </c>
      <c r="K163" s="316"/>
      <c r="L163" s="315">
        <f t="shared" ref="L163" si="347">SUM(L162+M162)</f>
        <v>0</v>
      </c>
      <c r="M163" s="316"/>
      <c r="N163" s="315">
        <f t="shared" ref="N163" si="348">SUM(N162+O162)</f>
        <v>0</v>
      </c>
      <c r="O163" s="316"/>
      <c r="P163" s="315">
        <f t="shared" ref="P163" si="349">SUM(P162+Q162)</f>
        <v>0</v>
      </c>
      <c r="Q163" s="316"/>
      <c r="R163" s="315">
        <f t="shared" ref="R163" si="350">SUM(R162+S162)</f>
        <v>0</v>
      </c>
      <c r="S163" s="316"/>
      <c r="T163" s="315">
        <f t="shared" ref="T163" si="351">SUM(T162+U162)</f>
        <v>0</v>
      </c>
      <c r="U163" s="316"/>
      <c r="V163" s="315">
        <f t="shared" ref="V163" si="352">SUM(V162+W162)</f>
        <v>0</v>
      </c>
      <c r="W163" s="316"/>
      <c r="X163" s="315">
        <f t="shared" ref="X163" si="353">SUM(X162+Y162)</f>
        <v>0</v>
      </c>
      <c r="Y163" s="316"/>
      <c r="Z163" s="78"/>
      <c r="AA163" s="79"/>
    </row>
    <row r="164" spans="1:27" ht="18" customHeight="1" thickBot="1">
      <c r="A164" s="326" t="s">
        <v>88</v>
      </c>
      <c r="B164" s="317" t="s">
        <v>38</v>
      </c>
      <c r="C164" s="318"/>
      <c r="D164" s="317" t="s">
        <v>38</v>
      </c>
      <c r="E164" s="318"/>
      <c r="F164" s="317" t="s">
        <v>38</v>
      </c>
      <c r="G164" s="318"/>
      <c r="H164" s="317" t="s">
        <v>38</v>
      </c>
      <c r="I164" s="318"/>
      <c r="J164" s="317" t="s">
        <v>38</v>
      </c>
      <c r="K164" s="318"/>
      <c r="L164" s="317" t="s">
        <v>38</v>
      </c>
      <c r="M164" s="318"/>
      <c r="N164" s="317" t="s">
        <v>38</v>
      </c>
      <c r="O164" s="318"/>
      <c r="P164" s="317" t="s">
        <v>38</v>
      </c>
      <c r="Q164" s="318"/>
      <c r="R164" s="317" t="s">
        <v>38</v>
      </c>
      <c r="S164" s="318"/>
      <c r="T164" s="317" t="s">
        <v>38</v>
      </c>
      <c r="U164" s="318"/>
      <c r="V164" s="317" t="s">
        <v>38</v>
      </c>
      <c r="W164" s="318"/>
      <c r="X164" s="317" t="s">
        <v>38</v>
      </c>
      <c r="Y164" s="318"/>
      <c r="Z164" s="54" t="s">
        <v>11</v>
      </c>
      <c r="AA164" s="52" t="s">
        <v>13</v>
      </c>
    </row>
    <row r="165" spans="1:27" ht="18" customHeight="1" thickBot="1">
      <c r="A165" s="327"/>
      <c r="B165" s="56" t="s">
        <v>2</v>
      </c>
      <c r="C165" s="57" t="s">
        <v>3</v>
      </c>
      <c r="D165" s="58" t="s">
        <v>2</v>
      </c>
      <c r="E165" s="59" t="s">
        <v>3</v>
      </c>
      <c r="F165" s="56" t="s">
        <v>2</v>
      </c>
      <c r="G165" s="57" t="s">
        <v>3</v>
      </c>
      <c r="H165" s="58" t="s">
        <v>2</v>
      </c>
      <c r="I165" s="59" t="s">
        <v>3</v>
      </c>
      <c r="J165" s="56" t="s">
        <v>2</v>
      </c>
      <c r="K165" s="57" t="s">
        <v>3</v>
      </c>
      <c r="L165" s="58" t="s">
        <v>2</v>
      </c>
      <c r="M165" s="59" t="s">
        <v>3</v>
      </c>
      <c r="N165" s="56" t="s">
        <v>2</v>
      </c>
      <c r="O165" s="57" t="s">
        <v>3</v>
      </c>
      <c r="P165" s="58" t="s">
        <v>2</v>
      </c>
      <c r="Q165" s="59" t="s">
        <v>3</v>
      </c>
      <c r="R165" s="56" t="s">
        <v>2</v>
      </c>
      <c r="S165" s="57" t="s">
        <v>3</v>
      </c>
      <c r="T165" s="58" t="s">
        <v>2</v>
      </c>
      <c r="U165" s="59" t="s">
        <v>3</v>
      </c>
      <c r="V165" s="58" t="s">
        <v>2</v>
      </c>
      <c r="W165" s="59" t="s">
        <v>3</v>
      </c>
      <c r="X165" s="58" t="s">
        <v>2</v>
      </c>
      <c r="Y165" s="59" t="s">
        <v>3</v>
      </c>
      <c r="Z165" s="53"/>
      <c r="AA165" s="51"/>
    </row>
    <row r="166" spans="1:27" ht="18" customHeight="1">
      <c r="A166" s="75" t="s">
        <v>4</v>
      </c>
      <c r="B166" s="65"/>
      <c r="C166" s="65"/>
      <c r="D166" s="64"/>
      <c r="E166" s="65"/>
      <c r="F166" s="64"/>
      <c r="G166" s="65"/>
      <c r="H166" s="64"/>
      <c r="I166" s="65"/>
      <c r="J166" s="64"/>
      <c r="K166" s="65"/>
      <c r="L166" s="64"/>
      <c r="M166" s="65"/>
      <c r="N166" s="64"/>
      <c r="O166" s="65"/>
      <c r="P166" s="64"/>
      <c r="Q166" s="65"/>
      <c r="R166" s="64"/>
      <c r="S166" s="65"/>
      <c r="T166" s="64"/>
      <c r="U166" s="65"/>
      <c r="V166" s="64"/>
      <c r="W166" s="65"/>
      <c r="X166" s="64"/>
      <c r="Y166" s="65"/>
      <c r="Z166" s="7">
        <f>SUM(B166:Y166)</f>
        <v>0</v>
      </c>
      <c r="AA166" s="10"/>
    </row>
    <row r="167" spans="1:27" ht="18" customHeight="1" thickBot="1">
      <c r="A167" s="76" t="s">
        <v>37</v>
      </c>
      <c r="B167" s="67"/>
      <c r="C167" s="67"/>
      <c r="D167" s="66"/>
      <c r="E167" s="67"/>
      <c r="F167" s="66"/>
      <c r="G167" s="67"/>
      <c r="H167" s="66"/>
      <c r="I167" s="67"/>
      <c r="J167" s="66"/>
      <c r="K167" s="67"/>
      <c r="L167" s="66"/>
      <c r="M167" s="67"/>
      <c r="N167" s="66"/>
      <c r="O167" s="67"/>
      <c r="P167" s="66"/>
      <c r="Q167" s="67"/>
      <c r="R167" s="66"/>
      <c r="S167" s="67"/>
      <c r="T167" s="66"/>
      <c r="U167" s="67"/>
      <c r="V167" s="66"/>
      <c r="W167" s="67"/>
      <c r="X167" s="66"/>
      <c r="Y167" s="67"/>
      <c r="Z167" s="11">
        <f>SUM(B167:Y167)</f>
        <v>0</v>
      </c>
      <c r="AA167" s="9">
        <f>SUM(Z166:Z167)</f>
        <v>0</v>
      </c>
    </row>
    <row r="168" spans="1:27" ht="18" customHeight="1">
      <c r="A168" s="77" t="s">
        <v>34</v>
      </c>
      <c r="B168" s="73"/>
      <c r="C168" s="64"/>
      <c r="D168" s="64"/>
      <c r="E168" s="65"/>
      <c r="F168" s="64"/>
      <c r="G168" s="65"/>
      <c r="H168" s="64"/>
      <c r="I168" s="65"/>
      <c r="J168" s="64"/>
      <c r="K168" s="65"/>
      <c r="L168" s="64"/>
      <c r="M168" s="65"/>
      <c r="N168" s="64"/>
      <c r="O168" s="65"/>
      <c r="P168" s="64"/>
      <c r="Q168" s="65"/>
      <c r="R168" s="64"/>
      <c r="S168" s="65"/>
      <c r="T168" s="64"/>
      <c r="U168" s="65"/>
      <c r="V168" s="64"/>
      <c r="W168" s="65"/>
      <c r="X168" s="64"/>
      <c r="Y168" s="65"/>
      <c r="Z168" s="13">
        <f>SUM(B168:Y168)</f>
        <v>0</v>
      </c>
      <c r="AA168" s="5"/>
    </row>
    <row r="169" spans="1:27" ht="18" customHeight="1" thickBot="1">
      <c r="A169" s="28" t="s">
        <v>0</v>
      </c>
      <c r="B169" s="74"/>
      <c r="C169" s="66"/>
      <c r="D169" s="66"/>
      <c r="E169" s="67"/>
      <c r="F169" s="66"/>
      <c r="G169" s="67"/>
      <c r="H169" s="66"/>
      <c r="I169" s="67"/>
      <c r="J169" s="66"/>
      <c r="K169" s="67"/>
      <c r="L169" s="66"/>
      <c r="M169" s="67"/>
      <c r="N169" s="66"/>
      <c r="O169" s="67"/>
      <c r="P169" s="66"/>
      <c r="Q169" s="67"/>
      <c r="R169" s="66"/>
      <c r="S169" s="67"/>
      <c r="T169" s="66"/>
      <c r="U169" s="67"/>
      <c r="V169" s="66"/>
      <c r="W169" s="67"/>
      <c r="X169" s="66"/>
      <c r="Y169" s="67"/>
      <c r="Z169" s="8">
        <f>SUM(B169:Y169)</f>
        <v>0</v>
      </c>
      <c r="AA169" s="18"/>
    </row>
    <row r="170" spans="1:27" ht="18" customHeight="1">
      <c r="A170" s="28" t="s">
        <v>35</v>
      </c>
      <c r="B170" s="7">
        <v>0</v>
      </c>
      <c r="C170" s="7">
        <v>0</v>
      </c>
      <c r="D170" s="7">
        <v>0</v>
      </c>
      <c r="E170" s="7">
        <v>0</v>
      </c>
      <c r="F170" s="7">
        <f>SUM(B168-B169)</f>
        <v>0</v>
      </c>
      <c r="G170" s="7">
        <f t="shared" ref="G170" si="354">SUM(C168-C169)</f>
        <v>0</v>
      </c>
      <c r="H170" s="7">
        <f t="shared" ref="H170" si="355">SUM(D168-D169)</f>
        <v>0</v>
      </c>
      <c r="I170" s="7">
        <f t="shared" ref="I170" si="356">SUM(E168-E169)</f>
        <v>0</v>
      </c>
      <c r="J170" s="7">
        <f t="shared" ref="J170" si="357">SUM(F168-F169)</f>
        <v>0</v>
      </c>
      <c r="K170" s="7">
        <f t="shared" ref="K170" si="358">SUM(G168-G169)</f>
        <v>0</v>
      </c>
      <c r="L170" s="7">
        <f t="shared" ref="L170" si="359">SUM(H168-H169)</f>
        <v>0</v>
      </c>
      <c r="M170" s="7">
        <f t="shared" ref="M170" si="360">SUM(I168-I169)</f>
        <v>0</v>
      </c>
      <c r="N170" s="7">
        <f t="shared" ref="N170" si="361">SUM(J168-J169)</f>
        <v>0</v>
      </c>
      <c r="O170" s="7">
        <f t="shared" ref="O170" si="362">SUM(K168-K169)</f>
        <v>0</v>
      </c>
      <c r="P170" s="7">
        <f t="shared" ref="P170" si="363">SUM(L168-L169)</f>
        <v>0</v>
      </c>
      <c r="Q170" s="7">
        <f t="shared" ref="Q170" si="364">SUM(M168-M169)</f>
        <v>0</v>
      </c>
      <c r="R170" s="7">
        <f t="shared" ref="R170" si="365">SUM(N168-N169)</f>
        <v>0</v>
      </c>
      <c r="S170" s="7">
        <f t="shared" ref="S170" si="366">SUM(O168-O169)</f>
        <v>0</v>
      </c>
      <c r="T170" s="7">
        <f t="shared" ref="T170" si="367">SUM(P168-P169)</f>
        <v>0</v>
      </c>
      <c r="U170" s="7">
        <f t="shared" ref="U170" si="368">SUM(Q168-Q169)</f>
        <v>0</v>
      </c>
      <c r="V170" s="7">
        <f t="shared" ref="V170" si="369">SUM(R168-R169)</f>
        <v>0</v>
      </c>
      <c r="W170" s="7">
        <f t="shared" ref="W170" si="370">SUM(S168-S169)</f>
        <v>0</v>
      </c>
      <c r="X170" s="7">
        <f t="shared" ref="X170" si="371">SUM(T168-T169)</f>
        <v>0</v>
      </c>
      <c r="Y170" s="7">
        <f t="shared" ref="Y170" si="372">SUM(U168-U169)</f>
        <v>0</v>
      </c>
      <c r="Z170" s="8">
        <f>SUM(B170:Y170)</f>
        <v>0</v>
      </c>
      <c r="AA170" s="18">
        <f>SUM(Z169:Z170)</f>
        <v>0</v>
      </c>
    </row>
    <row r="171" spans="1:27" ht="17.25" customHeight="1" thickBot="1">
      <c r="A171" s="29" t="s">
        <v>39</v>
      </c>
      <c r="B171" s="325">
        <f>SUM(B170+C170)</f>
        <v>0</v>
      </c>
      <c r="C171" s="316"/>
      <c r="D171" s="315">
        <f t="shared" ref="D171" si="373">SUM(D170+E170)</f>
        <v>0</v>
      </c>
      <c r="E171" s="316"/>
      <c r="F171" s="315">
        <f t="shared" ref="F171" si="374">SUM(F170+G170)</f>
        <v>0</v>
      </c>
      <c r="G171" s="316"/>
      <c r="H171" s="315">
        <f t="shared" ref="H171" si="375">SUM(H170+I170)</f>
        <v>0</v>
      </c>
      <c r="I171" s="316"/>
      <c r="J171" s="315">
        <f t="shared" ref="J171" si="376">SUM(J170+K170)</f>
        <v>0</v>
      </c>
      <c r="K171" s="316"/>
      <c r="L171" s="315">
        <f t="shared" ref="L171" si="377">SUM(L170+M170)</f>
        <v>0</v>
      </c>
      <c r="M171" s="316"/>
      <c r="N171" s="315">
        <f t="shared" ref="N171" si="378">SUM(N170+O170)</f>
        <v>0</v>
      </c>
      <c r="O171" s="316"/>
      <c r="P171" s="315">
        <f t="shared" ref="P171" si="379">SUM(P170+Q170)</f>
        <v>0</v>
      </c>
      <c r="Q171" s="316"/>
      <c r="R171" s="315">
        <f t="shared" ref="R171" si="380">SUM(R170+S170)</f>
        <v>0</v>
      </c>
      <c r="S171" s="316"/>
      <c r="T171" s="315">
        <f t="shared" ref="T171" si="381">SUM(T170+U170)</f>
        <v>0</v>
      </c>
      <c r="U171" s="316"/>
      <c r="V171" s="315">
        <f t="shared" ref="V171" si="382">SUM(V170+W170)</f>
        <v>0</v>
      </c>
      <c r="W171" s="316"/>
      <c r="X171" s="315">
        <f t="shared" ref="X171" si="383">SUM(X170+Y170)</f>
        <v>0</v>
      </c>
      <c r="Y171" s="316"/>
      <c r="Z171" s="78"/>
      <c r="AA171" s="79"/>
    </row>
    <row r="172" spans="1:27" ht="18" customHeight="1" thickBot="1">
      <c r="A172" s="326" t="s">
        <v>89</v>
      </c>
      <c r="B172" s="317" t="s">
        <v>38</v>
      </c>
      <c r="C172" s="318"/>
      <c r="D172" s="317" t="s">
        <v>38</v>
      </c>
      <c r="E172" s="318"/>
      <c r="F172" s="317" t="s">
        <v>38</v>
      </c>
      <c r="G172" s="318"/>
      <c r="H172" s="317" t="s">
        <v>38</v>
      </c>
      <c r="I172" s="318"/>
      <c r="J172" s="317" t="s">
        <v>38</v>
      </c>
      <c r="K172" s="318"/>
      <c r="L172" s="317" t="s">
        <v>38</v>
      </c>
      <c r="M172" s="318"/>
      <c r="N172" s="317" t="s">
        <v>38</v>
      </c>
      <c r="O172" s="318"/>
      <c r="P172" s="317" t="s">
        <v>38</v>
      </c>
      <c r="Q172" s="318"/>
      <c r="R172" s="317" t="s">
        <v>38</v>
      </c>
      <c r="S172" s="318"/>
      <c r="T172" s="317" t="s">
        <v>38</v>
      </c>
      <c r="U172" s="318"/>
      <c r="V172" s="317" t="s">
        <v>38</v>
      </c>
      <c r="W172" s="318"/>
      <c r="X172" s="317" t="s">
        <v>38</v>
      </c>
      <c r="Y172" s="318"/>
      <c r="Z172" s="54" t="s">
        <v>11</v>
      </c>
      <c r="AA172" s="52" t="s">
        <v>13</v>
      </c>
    </row>
    <row r="173" spans="1:27" ht="18" customHeight="1" thickBot="1">
      <c r="A173" s="327"/>
      <c r="B173" s="56" t="s">
        <v>2</v>
      </c>
      <c r="C173" s="57" t="s">
        <v>3</v>
      </c>
      <c r="D173" s="58" t="s">
        <v>2</v>
      </c>
      <c r="E173" s="59" t="s">
        <v>3</v>
      </c>
      <c r="F173" s="56" t="s">
        <v>2</v>
      </c>
      <c r="G173" s="57" t="s">
        <v>3</v>
      </c>
      <c r="H173" s="58" t="s">
        <v>2</v>
      </c>
      <c r="I173" s="59" t="s">
        <v>3</v>
      </c>
      <c r="J173" s="56" t="s">
        <v>2</v>
      </c>
      <c r="K173" s="57" t="s">
        <v>3</v>
      </c>
      <c r="L173" s="58" t="s">
        <v>2</v>
      </c>
      <c r="M173" s="59" t="s">
        <v>3</v>
      </c>
      <c r="N173" s="56" t="s">
        <v>2</v>
      </c>
      <c r="O173" s="57" t="s">
        <v>3</v>
      </c>
      <c r="P173" s="58" t="s">
        <v>2</v>
      </c>
      <c r="Q173" s="59" t="s">
        <v>3</v>
      </c>
      <c r="R173" s="56" t="s">
        <v>2</v>
      </c>
      <c r="S173" s="57" t="s">
        <v>3</v>
      </c>
      <c r="T173" s="58" t="s">
        <v>2</v>
      </c>
      <c r="U173" s="59" t="s">
        <v>3</v>
      </c>
      <c r="V173" s="58" t="s">
        <v>2</v>
      </c>
      <c r="W173" s="59" t="s">
        <v>3</v>
      </c>
      <c r="X173" s="58" t="s">
        <v>2</v>
      </c>
      <c r="Y173" s="59" t="s">
        <v>3</v>
      </c>
      <c r="Z173" s="53"/>
      <c r="AA173" s="51"/>
    </row>
    <row r="174" spans="1:27" ht="18" customHeight="1">
      <c r="A174" s="75" t="s">
        <v>4</v>
      </c>
      <c r="B174" s="65"/>
      <c r="C174" s="65"/>
      <c r="D174" s="64"/>
      <c r="E174" s="65"/>
      <c r="F174" s="64"/>
      <c r="G174" s="65"/>
      <c r="H174" s="64"/>
      <c r="I174" s="65"/>
      <c r="J174" s="64"/>
      <c r="K174" s="65"/>
      <c r="L174" s="64"/>
      <c r="M174" s="65"/>
      <c r="N174" s="64"/>
      <c r="O174" s="65"/>
      <c r="P174" s="64"/>
      <c r="Q174" s="65"/>
      <c r="R174" s="64"/>
      <c r="S174" s="65"/>
      <c r="T174" s="64"/>
      <c r="U174" s="65"/>
      <c r="V174" s="64"/>
      <c r="W174" s="65"/>
      <c r="X174" s="64"/>
      <c r="Y174" s="65"/>
      <c r="Z174" s="7">
        <f>SUM(B174:Y174)</f>
        <v>0</v>
      </c>
      <c r="AA174" s="10"/>
    </row>
    <row r="175" spans="1:27" ht="18" customHeight="1" thickBot="1">
      <c r="A175" s="76" t="s">
        <v>37</v>
      </c>
      <c r="B175" s="67"/>
      <c r="C175" s="67"/>
      <c r="D175" s="66"/>
      <c r="E175" s="67"/>
      <c r="F175" s="66"/>
      <c r="G175" s="67"/>
      <c r="H175" s="66"/>
      <c r="I175" s="67"/>
      <c r="J175" s="66"/>
      <c r="K175" s="67"/>
      <c r="L175" s="66"/>
      <c r="M175" s="67"/>
      <c r="N175" s="66"/>
      <c r="O175" s="67"/>
      <c r="P175" s="66"/>
      <c r="Q175" s="67"/>
      <c r="R175" s="66"/>
      <c r="S175" s="67"/>
      <c r="T175" s="66"/>
      <c r="U175" s="67"/>
      <c r="V175" s="66"/>
      <c r="W175" s="67"/>
      <c r="X175" s="66"/>
      <c r="Y175" s="67"/>
      <c r="Z175" s="11">
        <f>SUM(B175:Y175)</f>
        <v>0</v>
      </c>
      <c r="AA175" s="9">
        <f>SUM(Z174:Z175)</f>
        <v>0</v>
      </c>
    </row>
    <row r="176" spans="1:27" ht="18" customHeight="1">
      <c r="A176" s="77" t="s">
        <v>34</v>
      </c>
      <c r="B176" s="73"/>
      <c r="C176" s="64"/>
      <c r="D176" s="64"/>
      <c r="E176" s="65"/>
      <c r="F176" s="64"/>
      <c r="G176" s="65"/>
      <c r="H176" s="64"/>
      <c r="I176" s="65"/>
      <c r="J176" s="64"/>
      <c r="K176" s="65"/>
      <c r="L176" s="64"/>
      <c r="M176" s="65"/>
      <c r="N176" s="64"/>
      <c r="O176" s="65"/>
      <c r="P176" s="64"/>
      <c r="Q176" s="65"/>
      <c r="R176" s="64"/>
      <c r="S176" s="65"/>
      <c r="T176" s="64"/>
      <c r="U176" s="65"/>
      <c r="V176" s="64"/>
      <c r="W176" s="65"/>
      <c r="X176" s="64"/>
      <c r="Y176" s="65"/>
      <c r="Z176" s="13">
        <f>SUM(B176:Y176)</f>
        <v>0</v>
      </c>
      <c r="AA176" s="5"/>
    </row>
    <row r="177" spans="1:27" ht="18" customHeight="1" thickBot="1">
      <c r="A177" s="28" t="s">
        <v>0</v>
      </c>
      <c r="B177" s="74"/>
      <c r="C177" s="66"/>
      <c r="D177" s="66"/>
      <c r="E177" s="67"/>
      <c r="F177" s="66"/>
      <c r="G177" s="67"/>
      <c r="H177" s="66"/>
      <c r="I177" s="67"/>
      <c r="J177" s="66"/>
      <c r="K177" s="67"/>
      <c r="L177" s="66"/>
      <c r="M177" s="67"/>
      <c r="N177" s="66"/>
      <c r="O177" s="67"/>
      <c r="P177" s="66"/>
      <c r="Q177" s="67"/>
      <c r="R177" s="66"/>
      <c r="S177" s="67"/>
      <c r="T177" s="66"/>
      <c r="U177" s="67"/>
      <c r="V177" s="66"/>
      <c r="W177" s="67"/>
      <c r="X177" s="66"/>
      <c r="Y177" s="67"/>
      <c r="Z177" s="8">
        <f>SUM(B177:Y177)</f>
        <v>0</v>
      </c>
      <c r="AA177" s="18"/>
    </row>
    <row r="178" spans="1:27" ht="18" customHeight="1">
      <c r="A178" s="28" t="s">
        <v>35</v>
      </c>
      <c r="B178" s="7">
        <v>0</v>
      </c>
      <c r="C178" s="7">
        <v>0</v>
      </c>
      <c r="D178" s="7">
        <v>0</v>
      </c>
      <c r="E178" s="7">
        <v>0</v>
      </c>
      <c r="F178" s="7">
        <f>SUM(B176-B177)</f>
        <v>0</v>
      </c>
      <c r="G178" s="7">
        <f t="shared" ref="G178" si="384">SUM(C176-C177)</f>
        <v>0</v>
      </c>
      <c r="H178" s="7">
        <f t="shared" ref="H178" si="385">SUM(D176-D177)</f>
        <v>0</v>
      </c>
      <c r="I178" s="7">
        <f t="shared" ref="I178" si="386">SUM(E176-E177)</f>
        <v>0</v>
      </c>
      <c r="J178" s="7">
        <f t="shared" ref="J178" si="387">SUM(F176-F177)</f>
        <v>0</v>
      </c>
      <c r="K178" s="7">
        <f t="shared" ref="K178" si="388">SUM(G176-G177)</f>
        <v>0</v>
      </c>
      <c r="L178" s="7">
        <f t="shared" ref="L178" si="389">SUM(H176-H177)</f>
        <v>0</v>
      </c>
      <c r="M178" s="7">
        <f t="shared" ref="M178" si="390">SUM(I176-I177)</f>
        <v>0</v>
      </c>
      <c r="N178" s="7">
        <f t="shared" ref="N178" si="391">SUM(J176-J177)</f>
        <v>0</v>
      </c>
      <c r="O178" s="7">
        <f t="shared" ref="O178" si="392">SUM(K176-K177)</f>
        <v>0</v>
      </c>
      <c r="P178" s="7">
        <f t="shared" ref="P178" si="393">SUM(L176-L177)</f>
        <v>0</v>
      </c>
      <c r="Q178" s="7">
        <f t="shared" ref="Q178" si="394">SUM(M176-M177)</f>
        <v>0</v>
      </c>
      <c r="R178" s="7">
        <f t="shared" ref="R178" si="395">SUM(N176-N177)</f>
        <v>0</v>
      </c>
      <c r="S178" s="7">
        <f t="shared" ref="S178" si="396">SUM(O176-O177)</f>
        <v>0</v>
      </c>
      <c r="T178" s="7">
        <f t="shared" ref="T178" si="397">SUM(P176-P177)</f>
        <v>0</v>
      </c>
      <c r="U178" s="7">
        <f t="shared" ref="U178" si="398">SUM(Q176-Q177)</f>
        <v>0</v>
      </c>
      <c r="V178" s="7">
        <f t="shared" ref="V178" si="399">SUM(R176-R177)</f>
        <v>0</v>
      </c>
      <c r="W178" s="7">
        <f t="shared" ref="W178" si="400">SUM(S176-S177)</f>
        <v>0</v>
      </c>
      <c r="X178" s="7">
        <f t="shared" ref="X178" si="401">SUM(T176-T177)</f>
        <v>0</v>
      </c>
      <c r="Y178" s="7">
        <f t="shared" ref="Y178" si="402">SUM(U176-U177)</f>
        <v>0</v>
      </c>
      <c r="Z178" s="8">
        <f>SUM(B178:Y178)</f>
        <v>0</v>
      </c>
      <c r="AA178" s="18">
        <f>SUM(Z177:Z178)</f>
        <v>0</v>
      </c>
    </row>
    <row r="179" spans="1:27" ht="17.25" customHeight="1" thickBot="1">
      <c r="A179" s="29" t="s">
        <v>39</v>
      </c>
      <c r="B179" s="325">
        <f>SUM(B178+C178)</f>
        <v>0</v>
      </c>
      <c r="C179" s="316"/>
      <c r="D179" s="315">
        <f t="shared" ref="D179" si="403">SUM(D178+E178)</f>
        <v>0</v>
      </c>
      <c r="E179" s="316"/>
      <c r="F179" s="315">
        <f t="shared" ref="F179" si="404">SUM(F178+G178)</f>
        <v>0</v>
      </c>
      <c r="G179" s="316"/>
      <c r="H179" s="315">
        <f t="shared" ref="H179" si="405">SUM(H178+I178)</f>
        <v>0</v>
      </c>
      <c r="I179" s="316"/>
      <c r="J179" s="315">
        <f t="shared" ref="J179" si="406">SUM(J178+K178)</f>
        <v>0</v>
      </c>
      <c r="K179" s="316"/>
      <c r="L179" s="315">
        <f t="shared" ref="L179" si="407">SUM(L178+M178)</f>
        <v>0</v>
      </c>
      <c r="M179" s="316"/>
      <c r="N179" s="315">
        <f t="shared" ref="N179" si="408">SUM(N178+O178)</f>
        <v>0</v>
      </c>
      <c r="O179" s="316"/>
      <c r="P179" s="315">
        <f t="shared" ref="P179" si="409">SUM(P178+Q178)</f>
        <v>0</v>
      </c>
      <c r="Q179" s="316"/>
      <c r="R179" s="315">
        <f t="shared" ref="R179" si="410">SUM(R178+S178)</f>
        <v>0</v>
      </c>
      <c r="S179" s="316"/>
      <c r="T179" s="315">
        <f t="shared" ref="T179" si="411">SUM(T178+U178)</f>
        <v>0</v>
      </c>
      <c r="U179" s="316"/>
      <c r="V179" s="315">
        <f t="shared" ref="V179" si="412">SUM(V178+W178)</f>
        <v>0</v>
      </c>
      <c r="W179" s="316"/>
      <c r="X179" s="315">
        <f t="shared" ref="X179" si="413">SUM(X178+Y178)</f>
        <v>0</v>
      </c>
      <c r="Y179" s="316"/>
      <c r="Z179" s="78"/>
      <c r="AA179" s="79"/>
    </row>
    <row r="180" spans="1:27" ht="18" customHeight="1" thickBot="1">
      <c r="A180" s="326" t="s">
        <v>91</v>
      </c>
      <c r="B180" s="317" t="s">
        <v>38</v>
      </c>
      <c r="C180" s="318"/>
      <c r="D180" s="317" t="s">
        <v>38</v>
      </c>
      <c r="E180" s="318"/>
      <c r="F180" s="317" t="s">
        <v>38</v>
      </c>
      <c r="G180" s="318"/>
      <c r="H180" s="317" t="s">
        <v>38</v>
      </c>
      <c r="I180" s="318"/>
      <c r="J180" s="317" t="s">
        <v>38</v>
      </c>
      <c r="K180" s="318"/>
      <c r="L180" s="317" t="s">
        <v>38</v>
      </c>
      <c r="M180" s="318"/>
      <c r="N180" s="317" t="s">
        <v>38</v>
      </c>
      <c r="O180" s="318"/>
      <c r="P180" s="317" t="s">
        <v>38</v>
      </c>
      <c r="Q180" s="318"/>
      <c r="R180" s="317" t="s">
        <v>38</v>
      </c>
      <c r="S180" s="318"/>
      <c r="T180" s="317" t="s">
        <v>38</v>
      </c>
      <c r="U180" s="318"/>
      <c r="V180" s="317" t="s">
        <v>38</v>
      </c>
      <c r="W180" s="318"/>
      <c r="X180" s="317" t="s">
        <v>38</v>
      </c>
      <c r="Y180" s="318"/>
      <c r="Z180" s="54" t="s">
        <v>11</v>
      </c>
      <c r="AA180" s="52" t="s">
        <v>13</v>
      </c>
    </row>
    <row r="181" spans="1:27" ht="18" customHeight="1" thickBot="1">
      <c r="A181" s="327"/>
      <c r="B181" s="56" t="s">
        <v>2</v>
      </c>
      <c r="C181" s="57" t="s">
        <v>3</v>
      </c>
      <c r="D181" s="58" t="s">
        <v>2</v>
      </c>
      <c r="E181" s="59" t="s">
        <v>3</v>
      </c>
      <c r="F181" s="56" t="s">
        <v>2</v>
      </c>
      <c r="G181" s="57" t="s">
        <v>3</v>
      </c>
      <c r="H181" s="58" t="s">
        <v>2</v>
      </c>
      <c r="I181" s="59" t="s">
        <v>3</v>
      </c>
      <c r="J181" s="56" t="s">
        <v>2</v>
      </c>
      <c r="K181" s="57" t="s">
        <v>3</v>
      </c>
      <c r="L181" s="58" t="s">
        <v>2</v>
      </c>
      <c r="M181" s="59" t="s">
        <v>3</v>
      </c>
      <c r="N181" s="56" t="s">
        <v>2</v>
      </c>
      <c r="O181" s="57" t="s">
        <v>3</v>
      </c>
      <c r="P181" s="58" t="s">
        <v>2</v>
      </c>
      <c r="Q181" s="59" t="s">
        <v>3</v>
      </c>
      <c r="R181" s="56" t="s">
        <v>2</v>
      </c>
      <c r="S181" s="57" t="s">
        <v>3</v>
      </c>
      <c r="T181" s="58" t="s">
        <v>2</v>
      </c>
      <c r="U181" s="59" t="s">
        <v>3</v>
      </c>
      <c r="V181" s="58" t="s">
        <v>2</v>
      </c>
      <c r="W181" s="59" t="s">
        <v>3</v>
      </c>
      <c r="X181" s="58" t="s">
        <v>2</v>
      </c>
      <c r="Y181" s="59" t="s">
        <v>3</v>
      </c>
      <c r="Z181" s="53"/>
      <c r="AA181" s="51"/>
    </row>
    <row r="182" spans="1:27" ht="18" customHeight="1">
      <c r="A182" s="75" t="s">
        <v>4</v>
      </c>
      <c r="B182" s="65"/>
      <c r="C182" s="65"/>
      <c r="D182" s="64"/>
      <c r="E182" s="65"/>
      <c r="F182" s="64"/>
      <c r="G182" s="65"/>
      <c r="H182" s="64"/>
      <c r="I182" s="65"/>
      <c r="J182" s="64"/>
      <c r="K182" s="65"/>
      <c r="L182" s="64"/>
      <c r="M182" s="65"/>
      <c r="N182" s="64"/>
      <c r="O182" s="65"/>
      <c r="P182" s="64"/>
      <c r="Q182" s="65"/>
      <c r="R182" s="64"/>
      <c r="S182" s="65"/>
      <c r="T182" s="64"/>
      <c r="U182" s="65"/>
      <c r="V182" s="64"/>
      <c r="W182" s="65"/>
      <c r="X182" s="64"/>
      <c r="Y182" s="65"/>
      <c r="Z182" s="7">
        <f>SUM(B182:Y182)</f>
        <v>0</v>
      </c>
      <c r="AA182" s="10"/>
    </row>
    <row r="183" spans="1:27" ht="18" customHeight="1" thickBot="1">
      <c r="A183" s="76" t="s">
        <v>37</v>
      </c>
      <c r="B183" s="67"/>
      <c r="C183" s="67"/>
      <c r="D183" s="66"/>
      <c r="E183" s="67"/>
      <c r="F183" s="66"/>
      <c r="G183" s="67"/>
      <c r="H183" s="66"/>
      <c r="I183" s="67"/>
      <c r="J183" s="66"/>
      <c r="K183" s="67"/>
      <c r="L183" s="66"/>
      <c r="M183" s="67"/>
      <c r="N183" s="66"/>
      <c r="O183" s="67"/>
      <c r="P183" s="66"/>
      <c r="Q183" s="67"/>
      <c r="R183" s="66"/>
      <c r="S183" s="67"/>
      <c r="T183" s="66"/>
      <c r="U183" s="67"/>
      <c r="V183" s="66"/>
      <c r="W183" s="67"/>
      <c r="X183" s="66"/>
      <c r="Y183" s="67"/>
      <c r="Z183" s="11">
        <f>SUM(B183:Y183)</f>
        <v>0</v>
      </c>
      <c r="AA183" s="9">
        <f>SUM(Z182:Z183)</f>
        <v>0</v>
      </c>
    </row>
    <row r="184" spans="1:27" ht="18" customHeight="1">
      <c r="A184" s="77" t="s">
        <v>34</v>
      </c>
      <c r="B184" s="73"/>
      <c r="C184" s="64"/>
      <c r="D184" s="64"/>
      <c r="E184" s="65"/>
      <c r="F184" s="64"/>
      <c r="G184" s="65"/>
      <c r="H184" s="64"/>
      <c r="I184" s="65"/>
      <c r="J184" s="64"/>
      <c r="K184" s="65"/>
      <c r="L184" s="64"/>
      <c r="M184" s="65"/>
      <c r="N184" s="64"/>
      <c r="O184" s="65"/>
      <c r="P184" s="64"/>
      <c r="Q184" s="65"/>
      <c r="R184" s="64"/>
      <c r="S184" s="65"/>
      <c r="T184" s="64"/>
      <c r="U184" s="65"/>
      <c r="V184" s="64"/>
      <c r="W184" s="65"/>
      <c r="X184" s="64"/>
      <c r="Y184" s="65"/>
      <c r="Z184" s="13">
        <f>SUM(B184:Y184)</f>
        <v>0</v>
      </c>
      <c r="AA184" s="5"/>
    </row>
    <row r="185" spans="1:27" ht="18" customHeight="1" thickBot="1">
      <c r="A185" s="28" t="s">
        <v>0</v>
      </c>
      <c r="B185" s="74"/>
      <c r="C185" s="66"/>
      <c r="D185" s="66"/>
      <c r="E185" s="67"/>
      <c r="F185" s="66"/>
      <c r="G185" s="67"/>
      <c r="H185" s="66"/>
      <c r="I185" s="67"/>
      <c r="J185" s="66"/>
      <c r="K185" s="67"/>
      <c r="L185" s="66"/>
      <c r="M185" s="67"/>
      <c r="N185" s="66"/>
      <c r="O185" s="67"/>
      <c r="P185" s="66"/>
      <c r="Q185" s="67"/>
      <c r="R185" s="66"/>
      <c r="S185" s="67"/>
      <c r="T185" s="66"/>
      <c r="U185" s="67"/>
      <c r="V185" s="66"/>
      <c r="W185" s="67"/>
      <c r="X185" s="66"/>
      <c r="Y185" s="67"/>
      <c r="Z185" s="8">
        <f>SUM(B185:Y185)</f>
        <v>0</v>
      </c>
      <c r="AA185" s="18"/>
    </row>
    <row r="186" spans="1:27" ht="18" customHeight="1">
      <c r="A186" s="28" t="s">
        <v>35</v>
      </c>
      <c r="B186" s="7">
        <v>0</v>
      </c>
      <c r="C186" s="7">
        <v>0</v>
      </c>
      <c r="D186" s="7">
        <v>0</v>
      </c>
      <c r="E186" s="7">
        <v>0</v>
      </c>
      <c r="F186" s="7">
        <f>SUM(B184-B185)</f>
        <v>0</v>
      </c>
      <c r="G186" s="7">
        <f t="shared" ref="G186" si="414">SUM(C184-C185)</f>
        <v>0</v>
      </c>
      <c r="H186" s="7">
        <f t="shared" ref="H186" si="415">SUM(D184-D185)</f>
        <v>0</v>
      </c>
      <c r="I186" s="7">
        <f t="shared" ref="I186" si="416">SUM(E184-E185)</f>
        <v>0</v>
      </c>
      <c r="J186" s="7">
        <f t="shared" ref="J186" si="417">SUM(F184-F185)</f>
        <v>0</v>
      </c>
      <c r="K186" s="7">
        <f t="shared" ref="K186" si="418">SUM(G184-G185)</f>
        <v>0</v>
      </c>
      <c r="L186" s="7">
        <f t="shared" ref="L186" si="419">SUM(H184-H185)</f>
        <v>0</v>
      </c>
      <c r="M186" s="7">
        <f t="shared" ref="M186" si="420">SUM(I184-I185)</f>
        <v>0</v>
      </c>
      <c r="N186" s="7">
        <f t="shared" ref="N186" si="421">SUM(J184-J185)</f>
        <v>0</v>
      </c>
      <c r="O186" s="7">
        <f t="shared" ref="O186" si="422">SUM(K184-K185)</f>
        <v>0</v>
      </c>
      <c r="P186" s="7">
        <f t="shared" ref="P186" si="423">SUM(L184-L185)</f>
        <v>0</v>
      </c>
      <c r="Q186" s="7">
        <f t="shared" ref="Q186" si="424">SUM(M184-M185)</f>
        <v>0</v>
      </c>
      <c r="R186" s="7">
        <f t="shared" ref="R186" si="425">SUM(N184-N185)</f>
        <v>0</v>
      </c>
      <c r="S186" s="7">
        <f t="shared" ref="S186" si="426">SUM(O184-O185)</f>
        <v>0</v>
      </c>
      <c r="T186" s="7">
        <f t="shared" ref="T186" si="427">SUM(P184-P185)</f>
        <v>0</v>
      </c>
      <c r="U186" s="7">
        <f t="shared" ref="U186" si="428">SUM(Q184-Q185)</f>
        <v>0</v>
      </c>
      <c r="V186" s="7">
        <f t="shared" ref="V186" si="429">SUM(R184-R185)</f>
        <v>0</v>
      </c>
      <c r="W186" s="7">
        <f t="shared" ref="W186" si="430">SUM(S184-S185)</f>
        <v>0</v>
      </c>
      <c r="X186" s="7">
        <f t="shared" ref="X186" si="431">SUM(T184-T185)</f>
        <v>0</v>
      </c>
      <c r="Y186" s="7">
        <f t="shared" ref="Y186" si="432">SUM(U184-U185)</f>
        <v>0</v>
      </c>
      <c r="Z186" s="8">
        <f>SUM(B186:Y186)</f>
        <v>0</v>
      </c>
      <c r="AA186" s="18">
        <f>SUM(Z185:Z186)</f>
        <v>0</v>
      </c>
    </row>
    <row r="187" spans="1:27" ht="17.25" customHeight="1" thickBot="1">
      <c r="A187" s="29" t="s">
        <v>39</v>
      </c>
      <c r="B187" s="325">
        <f>SUM(B186+C186)</f>
        <v>0</v>
      </c>
      <c r="C187" s="316"/>
      <c r="D187" s="315">
        <f t="shared" ref="D187" si="433">SUM(D186+E186)</f>
        <v>0</v>
      </c>
      <c r="E187" s="316"/>
      <c r="F187" s="315">
        <f t="shared" ref="F187" si="434">SUM(F186+G186)</f>
        <v>0</v>
      </c>
      <c r="G187" s="316"/>
      <c r="H187" s="315">
        <f t="shared" ref="H187" si="435">SUM(H186+I186)</f>
        <v>0</v>
      </c>
      <c r="I187" s="316"/>
      <c r="J187" s="315">
        <f t="shared" ref="J187" si="436">SUM(J186+K186)</f>
        <v>0</v>
      </c>
      <c r="K187" s="316"/>
      <c r="L187" s="315">
        <f t="shared" ref="L187" si="437">SUM(L186+M186)</f>
        <v>0</v>
      </c>
      <c r="M187" s="316"/>
      <c r="N187" s="315">
        <f t="shared" ref="N187" si="438">SUM(N186+O186)</f>
        <v>0</v>
      </c>
      <c r="O187" s="316"/>
      <c r="P187" s="315">
        <f t="shared" ref="P187" si="439">SUM(P186+Q186)</f>
        <v>0</v>
      </c>
      <c r="Q187" s="316"/>
      <c r="R187" s="315">
        <f t="shared" ref="R187" si="440">SUM(R186+S186)</f>
        <v>0</v>
      </c>
      <c r="S187" s="316"/>
      <c r="T187" s="315">
        <f t="shared" ref="T187" si="441">SUM(T186+U186)</f>
        <v>0</v>
      </c>
      <c r="U187" s="316"/>
      <c r="V187" s="315">
        <f t="shared" ref="V187" si="442">SUM(V186+W186)</f>
        <v>0</v>
      </c>
      <c r="W187" s="316"/>
      <c r="X187" s="315">
        <f t="shared" ref="X187" si="443">SUM(X186+Y186)</f>
        <v>0</v>
      </c>
      <c r="Y187" s="316"/>
      <c r="Z187" s="78"/>
      <c r="AA187" s="79"/>
    </row>
    <row r="188" spans="1:27" ht="18" customHeight="1" thickBot="1">
      <c r="A188" s="326" t="s">
        <v>90</v>
      </c>
      <c r="B188" s="317" t="s">
        <v>38</v>
      </c>
      <c r="C188" s="318"/>
      <c r="D188" s="317" t="s">
        <v>38</v>
      </c>
      <c r="E188" s="318"/>
      <c r="F188" s="317" t="s">
        <v>38</v>
      </c>
      <c r="G188" s="318"/>
      <c r="H188" s="317" t="s">
        <v>38</v>
      </c>
      <c r="I188" s="318"/>
      <c r="J188" s="317" t="s">
        <v>38</v>
      </c>
      <c r="K188" s="318"/>
      <c r="L188" s="317" t="s">
        <v>38</v>
      </c>
      <c r="M188" s="318"/>
      <c r="N188" s="317" t="s">
        <v>38</v>
      </c>
      <c r="O188" s="318"/>
      <c r="P188" s="317" t="s">
        <v>38</v>
      </c>
      <c r="Q188" s="318"/>
      <c r="R188" s="317" t="s">
        <v>38</v>
      </c>
      <c r="S188" s="318"/>
      <c r="T188" s="317" t="s">
        <v>38</v>
      </c>
      <c r="U188" s="318"/>
      <c r="V188" s="317" t="s">
        <v>38</v>
      </c>
      <c r="W188" s="318"/>
      <c r="X188" s="317" t="s">
        <v>38</v>
      </c>
      <c r="Y188" s="318"/>
      <c r="Z188" s="54" t="s">
        <v>11</v>
      </c>
      <c r="AA188" s="52" t="s">
        <v>13</v>
      </c>
    </row>
    <row r="189" spans="1:27" ht="18" customHeight="1" thickBot="1">
      <c r="A189" s="327"/>
      <c r="B189" s="56" t="s">
        <v>2</v>
      </c>
      <c r="C189" s="57" t="s">
        <v>3</v>
      </c>
      <c r="D189" s="58" t="s">
        <v>2</v>
      </c>
      <c r="E189" s="59" t="s">
        <v>3</v>
      </c>
      <c r="F189" s="56" t="s">
        <v>2</v>
      </c>
      <c r="G189" s="57" t="s">
        <v>3</v>
      </c>
      <c r="H189" s="58" t="s">
        <v>2</v>
      </c>
      <c r="I189" s="59" t="s">
        <v>3</v>
      </c>
      <c r="J189" s="56" t="s">
        <v>2</v>
      </c>
      <c r="K189" s="57" t="s">
        <v>3</v>
      </c>
      <c r="L189" s="58" t="s">
        <v>2</v>
      </c>
      <c r="M189" s="59" t="s">
        <v>3</v>
      </c>
      <c r="N189" s="56" t="s">
        <v>2</v>
      </c>
      <c r="O189" s="57" t="s">
        <v>3</v>
      </c>
      <c r="P189" s="58" t="s">
        <v>2</v>
      </c>
      <c r="Q189" s="59" t="s">
        <v>3</v>
      </c>
      <c r="R189" s="56" t="s">
        <v>2</v>
      </c>
      <c r="S189" s="57" t="s">
        <v>3</v>
      </c>
      <c r="T189" s="58" t="s">
        <v>2</v>
      </c>
      <c r="U189" s="59" t="s">
        <v>3</v>
      </c>
      <c r="V189" s="58" t="s">
        <v>2</v>
      </c>
      <c r="W189" s="59" t="s">
        <v>3</v>
      </c>
      <c r="X189" s="58" t="s">
        <v>2</v>
      </c>
      <c r="Y189" s="59" t="s">
        <v>3</v>
      </c>
      <c r="Z189" s="53"/>
      <c r="AA189" s="51"/>
    </row>
    <row r="190" spans="1:27" ht="18" customHeight="1">
      <c r="A190" s="75" t="s">
        <v>4</v>
      </c>
      <c r="B190" s="65"/>
      <c r="C190" s="65"/>
      <c r="D190" s="64"/>
      <c r="E190" s="65"/>
      <c r="F190" s="64"/>
      <c r="G190" s="65"/>
      <c r="H190" s="64"/>
      <c r="I190" s="65"/>
      <c r="J190" s="64"/>
      <c r="K190" s="65"/>
      <c r="L190" s="64"/>
      <c r="M190" s="65"/>
      <c r="N190" s="64"/>
      <c r="O190" s="65"/>
      <c r="P190" s="64"/>
      <c r="Q190" s="65"/>
      <c r="R190" s="64"/>
      <c r="S190" s="65"/>
      <c r="T190" s="64"/>
      <c r="U190" s="65"/>
      <c r="V190" s="64"/>
      <c r="W190" s="65"/>
      <c r="X190" s="64"/>
      <c r="Y190" s="65"/>
      <c r="Z190" s="7">
        <f>SUM(B190:Y190)</f>
        <v>0</v>
      </c>
      <c r="AA190" s="10"/>
    </row>
    <row r="191" spans="1:27" ht="18" customHeight="1" thickBot="1">
      <c r="A191" s="76" t="s">
        <v>37</v>
      </c>
      <c r="B191" s="67"/>
      <c r="C191" s="67"/>
      <c r="D191" s="66"/>
      <c r="E191" s="67"/>
      <c r="F191" s="66"/>
      <c r="G191" s="67"/>
      <c r="H191" s="66"/>
      <c r="I191" s="67"/>
      <c r="J191" s="66"/>
      <c r="K191" s="67"/>
      <c r="L191" s="66"/>
      <c r="M191" s="67"/>
      <c r="N191" s="66"/>
      <c r="O191" s="67"/>
      <c r="P191" s="66"/>
      <c r="Q191" s="67"/>
      <c r="R191" s="66"/>
      <c r="S191" s="67"/>
      <c r="T191" s="66"/>
      <c r="U191" s="67"/>
      <c r="V191" s="66"/>
      <c r="W191" s="67"/>
      <c r="X191" s="66"/>
      <c r="Y191" s="67"/>
      <c r="Z191" s="11">
        <f>SUM(B191:Y191)</f>
        <v>0</v>
      </c>
      <c r="AA191" s="9">
        <f>SUM(Z190:Z191)</f>
        <v>0</v>
      </c>
    </row>
    <row r="192" spans="1:27" ht="18" customHeight="1">
      <c r="A192" s="77" t="s">
        <v>34</v>
      </c>
      <c r="B192" s="73"/>
      <c r="C192" s="64"/>
      <c r="D192" s="64"/>
      <c r="E192" s="65"/>
      <c r="F192" s="64"/>
      <c r="G192" s="65"/>
      <c r="H192" s="64"/>
      <c r="I192" s="65"/>
      <c r="J192" s="64"/>
      <c r="K192" s="65"/>
      <c r="L192" s="64"/>
      <c r="M192" s="65"/>
      <c r="N192" s="64"/>
      <c r="O192" s="65"/>
      <c r="P192" s="64"/>
      <c r="Q192" s="65"/>
      <c r="R192" s="64"/>
      <c r="S192" s="65"/>
      <c r="T192" s="64"/>
      <c r="U192" s="65"/>
      <c r="V192" s="64"/>
      <c r="W192" s="65"/>
      <c r="X192" s="64"/>
      <c r="Y192" s="65"/>
      <c r="Z192" s="13">
        <f>SUM(B192:Y192)</f>
        <v>0</v>
      </c>
      <c r="AA192" s="5"/>
    </row>
    <row r="193" spans="1:27" ht="18" customHeight="1" thickBot="1">
      <c r="A193" s="28" t="s">
        <v>0</v>
      </c>
      <c r="B193" s="74"/>
      <c r="C193" s="66"/>
      <c r="D193" s="66"/>
      <c r="E193" s="67"/>
      <c r="F193" s="66"/>
      <c r="G193" s="67"/>
      <c r="H193" s="66"/>
      <c r="I193" s="67"/>
      <c r="J193" s="66"/>
      <c r="K193" s="67"/>
      <c r="L193" s="66"/>
      <c r="M193" s="67"/>
      <c r="N193" s="66"/>
      <c r="O193" s="67"/>
      <c r="P193" s="66"/>
      <c r="Q193" s="67"/>
      <c r="R193" s="66"/>
      <c r="S193" s="67"/>
      <c r="T193" s="66"/>
      <c r="U193" s="67"/>
      <c r="V193" s="66"/>
      <c r="W193" s="67"/>
      <c r="X193" s="66"/>
      <c r="Y193" s="67"/>
      <c r="Z193" s="8">
        <f>SUM(B193:Y193)</f>
        <v>0</v>
      </c>
      <c r="AA193" s="18"/>
    </row>
    <row r="194" spans="1:27" ht="18" customHeight="1">
      <c r="A194" s="28" t="s">
        <v>35</v>
      </c>
      <c r="B194" s="7">
        <v>0</v>
      </c>
      <c r="C194" s="7">
        <v>0</v>
      </c>
      <c r="D194" s="7">
        <v>0</v>
      </c>
      <c r="E194" s="7">
        <v>0</v>
      </c>
      <c r="F194" s="7">
        <f>SUM(B192-B193)</f>
        <v>0</v>
      </c>
      <c r="G194" s="7">
        <f t="shared" ref="G194" si="444">SUM(C192-C193)</f>
        <v>0</v>
      </c>
      <c r="H194" s="7">
        <f t="shared" ref="H194" si="445">SUM(D192-D193)</f>
        <v>0</v>
      </c>
      <c r="I194" s="7">
        <f t="shared" ref="I194" si="446">SUM(E192-E193)</f>
        <v>0</v>
      </c>
      <c r="J194" s="7">
        <f t="shared" ref="J194" si="447">SUM(F192-F193)</f>
        <v>0</v>
      </c>
      <c r="K194" s="7">
        <f t="shared" ref="K194" si="448">SUM(G192-G193)</f>
        <v>0</v>
      </c>
      <c r="L194" s="7">
        <f t="shared" ref="L194" si="449">SUM(H192-H193)</f>
        <v>0</v>
      </c>
      <c r="M194" s="7">
        <f t="shared" ref="M194" si="450">SUM(I192-I193)</f>
        <v>0</v>
      </c>
      <c r="N194" s="7">
        <f t="shared" ref="N194" si="451">SUM(J192-J193)</f>
        <v>0</v>
      </c>
      <c r="O194" s="7">
        <f t="shared" ref="O194" si="452">SUM(K192-K193)</f>
        <v>0</v>
      </c>
      <c r="P194" s="7">
        <f t="shared" ref="P194" si="453">SUM(L192-L193)</f>
        <v>0</v>
      </c>
      <c r="Q194" s="7">
        <f t="shared" ref="Q194" si="454">SUM(M192-M193)</f>
        <v>0</v>
      </c>
      <c r="R194" s="7">
        <f t="shared" ref="R194" si="455">SUM(N192-N193)</f>
        <v>0</v>
      </c>
      <c r="S194" s="7">
        <f t="shared" ref="S194" si="456">SUM(O192-O193)</f>
        <v>0</v>
      </c>
      <c r="T194" s="7">
        <f t="shared" ref="T194" si="457">SUM(P192-P193)</f>
        <v>0</v>
      </c>
      <c r="U194" s="7">
        <f t="shared" ref="U194" si="458">SUM(Q192-Q193)</f>
        <v>0</v>
      </c>
      <c r="V194" s="7">
        <f t="shared" ref="V194" si="459">SUM(R192-R193)</f>
        <v>0</v>
      </c>
      <c r="W194" s="7">
        <f t="shared" ref="W194" si="460">SUM(S192-S193)</f>
        <v>0</v>
      </c>
      <c r="X194" s="7">
        <f t="shared" ref="X194" si="461">SUM(T192-T193)</f>
        <v>0</v>
      </c>
      <c r="Y194" s="7">
        <f t="shared" ref="Y194" si="462">SUM(U192-U193)</f>
        <v>0</v>
      </c>
      <c r="Z194" s="8">
        <f>SUM(B194:Y194)</f>
        <v>0</v>
      </c>
      <c r="AA194" s="18">
        <f>SUM(Z193:Z194)</f>
        <v>0</v>
      </c>
    </row>
    <row r="195" spans="1:27" ht="17.25" customHeight="1" thickBot="1">
      <c r="A195" s="29" t="s">
        <v>39</v>
      </c>
      <c r="B195" s="325">
        <f>SUM(B194+C194)</f>
        <v>0</v>
      </c>
      <c r="C195" s="316"/>
      <c r="D195" s="315">
        <f t="shared" ref="D195" si="463">SUM(D194+E194)</f>
        <v>0</v>
      </c>
      <c r="E195" s="316"/>
      <c r="F195" s="315">
        <f t="shared" ref="F195" si="464">SUM(F194+G194)</f>
        <v>0</v>
      </c>
      <c r="G195" s="316"/>
      <c r="H195" s="315">
        <f t="shared" ref="H195" si="465">SUM(H194+I194)</f>
        <v>0</v>
      </c>
      <c r="I195" s="316"/>
      <c r="J195" s="315">
        <f t="shared" ref="J195" si="466">SUM(J194+K194)</f>
        <v>0</v>
      </c>
      <c r="K195" s="316"/>
      <c r="L195" s="315">
        <f t="shared" ref="L195" si="467">SUM(L194+M194)</f>
        <v>0</v>
      </c>
      <c r="M195" s="316"/>
      <c r="N195" s="315">
        <f t="shared" ref="N195" si="468">SUM(N194+O194)</f>
        <v>0</v>
      </c>
      <c r="O195" s="316"/>
      <c r="P195" s="315">
        <f t="shared" ref="P195" si="469">SUM(P194+Q194)</f>
        <v>0</v>
      </c>
      <c r="Q195" s="316"/>
      <c r="R195" s="315">
        <f t="shared" ref="R195" si="470">SUM(R194+S194)</f>
        <v>0</v>
      </c>
      <c r="S195" s="316"/>
      <c r="T195" s="315">
        <f t="shared" ref="T195" si="471">SUM(T194+U194)</f>
        <v>0</v>
      </c>
      <c r="U195" s="316"/>
      <c r="V195" s="315">
        <f t="shared" ref="V195" si="472">SUM(V194+W194)</f>
        <v>0</v>
      </c>
      <c r="W195" s="316"/>
      <c r="X195" s="315">
        <f t="shared" ref="X195" si="473">SUM(X194+Y194)</f>
        <v>0</v>
      </c>
      <c r="Y195" s="316"/>
      <c r="Z195" s="78"/>
      <c r="AA195" s="79"/>
    </row>
    <row r="196" spans="1:27" ht="18" customHeight="1" thickBot="1">
      <c r="A196" s="326" t="s">
        <v>92</v>
      </c>
      <c r="B196" s="317" t="s">
        <v>38</v>
      </c>
      <c r="C196" s="318"/>
      <c r="D196" s="317" t="s">
        <v>38</v>
      </c>
      <c r="E196" s="318"/>
      <c r="F196" s="317" t="s">
        <v>38</v>
      </c>
      <c r="G196" s="318"/>
      <c r="H196" s="317" t="s">
        <v>38</v>
      </c>
      <c r="I196" s="318"/>
      <c r="J196" s="317" t="s">
        <v>38</v>
      </c>
      <c r="K196" s="318"/>
      <c r="L196" s="317" t="s">
        <v>38</v>
      </c>
      <c r="M196" s="318"/>
      <c r="N196" s="317" t="s">
        <v>38</v>
      </c>
      <c r="O196" s="318"/>
      <c r="P196" s="317" t="s">
        <v>38</v>
      </c>
      <c r="Q196" s="318"/>
      <c r="R196" s="317" t="s">
        <v>38</v>
      </c>
      <c r="S196" s="318"/>
      <c r="T196" s="317" t="s">
        <v>38</v>
      </c>
      <c r="U196" s="318"/>
      <c r="V196" s="317" t="s">
        <v>38</v>
      </c>
      <c r="W196" s="318"/>
      <c r="X196" s="317" t="s">
        <v>38</v>
      </c>
      <c r="Y196" s="318"/>
      <c r="Z196" s="54" t="s">
        <v>11</v>
      </c>
      <c r="AA196" s="52" t="s">
        <v>13</v>
      </c>
    </row>
    <row r="197" spans="1:27" ht="18" customHeight="1" thickBot="1">
      <c r="A197" s="327"/>
      <c r="B197" s="56" t="s">
        <v>2</v>
      </c>
      <c r="C197" s="57" t="s">
        <v>3</v>
      </c>
      <c r="D197" s="58" t="s">
        <v>2</v>
      </c>
      <c r="E197" s="59" t="s">
        <v>3</v>
      </c>
      <c r="F197" s="56" t="s">
        <v>2</v>
      </c>
      <c r="G197" s="57" t="s">
        <v>3</v>
      </c>
      <c r="H197" s="58" t="s">
        <v>2</v>
      </c>
      <c r="I197" s="59" t="s">
        <v>3</v>
      </c>
      <c r="J197" s="56" t="s">
        <v>2</v>
      </c>
      <c r="K197" s="57" t="s">
        <v>3</v>
      </c>
      <c r="L197" s="58" t="s">
        <v>2</v>
      </c>
      <c r="M197" s="59" t="s">
        <v>3</v>
      </c>
      <c r="N197" s="56" t="s">
        <v>2</v>
      </c>
      <c r="O197" s="57" t="s">
        <v>3</v>
      </c>
      <c r="P197" s="58" t="s">
        <v>2</v>
      </c>
      <c r="Q197" s="59" t="s">
        <v>3</v>
      </c>
      <c r="R197" s="56" t="s">
        <v>2</v>
      </c>
      <c r="S197" s="57" t="s">
        <v>3</v>
      </c>
      <c r="T197" s="58" t="s">
        <v>2</v>
      </c>
      <c r="U197" s="59" t="s">
        <v>3</v>
      </c>
      <c r="V197" s="58" t="s">
        <v>2</v>
      </c>
      <c r="W197" s="59" t="s">
        <v>3</v>
      </c>
      <c r="X197" s="58" t="s">
        <v>2</v>
      </c>
      <c r="Y197" s="59" t="s">
        <v>3</v>
      </c>
      <c r="Z197" s="53"/>
      <c r="AA197" s="51"/>
    </row>
    <row r="198" spans="1:27" ht="18" customHeight="1">
      <c r="A198" s="75" t="s">
        <v>4</v>
      </c>
      <c r="B198" s="65"/>
      <c r="C198" s="65"/>
      <c r="D198" s="64"/>
      <c r="E198" s="65"/>
      <c r="F198" s="64"/>
      <c r="G198" s="65"/>
      <c r="H198" s="64"/>
      <c r="I198" s="65"/>
      <c r="J198" s="64"/>
      <c r="K198" s="65"/>
      <c r="L198" s="64"/>
      <c r="M198" s="65"/>
      <c r="N198" s="64"/>
      <c r="O198" s="65"/>
      <c r="P198" s="64"/>
      <c r="Q198" s="65"/>
      <c r="R198" s="64"/>
      <c r="S198" s="65"/>
      <c r="T198" s="64"/>
      <c r="U198" s="65"/>
      <c r="V198" s="64"/>
      <c r="W198" s="65"/>
      <c r="X198" s="64"/>
      <c r="Y198" s="65"/>
      <c r="Z198" s="7">
        <f>SUM(B198:Y198)</f>
        <v>0</v>
      </c>
      <c r="AA198" s="10"/>
    </row>
    <row r="199" spans="1:27" ht="18" customHeight="1" thickBot="1">
      <c r="A199" s="76" t="s">
        <v>37</v>
      </c>
      <c r="B199" s="67"/>
      <c r="C199" s="67"/>
      <c r="D199" s="66"/>
      <c r="E199" s="67"/>
      <c r="F199" s="66"/>
      <c r="G199" s="67"/>
      <c r="H199" s="66"/>
      <c r="I199" s="67"/>
      <c r="J199" s="66"/>
      <c r="K199" s="67"/>
      <c r="L199" s="66"/>
      <c r="M199" s="67"/>
      <c r="N199" s="66"/>
      <c r="O199" s="67"/>
      <c r="P199" s="66"/>
      <c r="Q199" s="67"/>
      <c r="R199" s="66"/>
      <c r="S199" s="67"/>
      <c r="T199" s="66"/>
      <c r="U199" s="67"/>
      <c r="V199" s="66"/>
      <c r="W199" s="67"/>
      <c r="X199" s="66"/>
      <c r="Y199" s="67"/>
      <c r="Z199" s="11">
        <f>SUM(B199:Y199)</f>
        <v>0</v>
      </c>
      <c r="AA199" s="9">
        <f>SUM(Z198:Z199)</f>
        <v>0</v>
      </c>
    </row>
    <row r="200" spans="1:27" ht="18" customHeight="1">
      <c r="A200" s="77" t="s">
        <v>34</v>
      </c>
      <c r="B200" s="73"/>
      <c r="C200" s="64"/>
      <c r="D200" s="64"/>
      <c r="E200" s="65"/>
      <c r="F200" s="64"/>
      <c r="G200" s="65"/>
      <c r="H200" s="64"/>
      <c r="I200" s="65"/>
      <c r="J200" s="64"/>
      <c r="K200" s="65"/>
      <c r="L200" s="64"/>
      <c r="M200" s="65"/>
      <c r="N200" s="64"/>
      <c r="O200" s="65"/>
      <c r="P200" s="64"/>
      <c r="Q200" s="65"/>
      <c r="R200" s="64"/>
      <c r="S200" s="65"/>
      <c r="T200" s="64"/>
      <c r="U200" s="65"/>
      <c r="V200" s="64"/>
      <c r="W200" s="65"/>
      <c r="X200" s="64"/>
      <c r="Y200" s="65"/>
      <c r="Z200" s="13">
        <f>SUM(B200:Y200)</f>
        <v>0</v>
      </c>
      <c r="AA200" s="5"/>
    </row>
    <row r="201" spans="1:27" ht="18" customHeight="1" thickBot="1">
      <c r="A201" s="28" t="s">
        <v>0</v>
      </c>
      <c r="B201" s="74"/>
      <c r="C201" s="66"/>
      <c r="D201" s="66"/>
      <c r="E201" s="67"/>
      <c r="F201" s="66"/>
      <c r="G201" s="67"/>
      <c r="H201" s="66"/>
      <c r="I201" s="67"/>
      <c r="J201" s="66"/>
      <c r="K201" s="67"/>
      <c r="L201" s="66"/>
      <c r="M201" s="67"/>
      <c r="N201" s="66"/>
      <c r="O201" s="67"/>
      <c r="P201" s="66"/>
      <c r="Q201" s="67"/>
      <c r="R201" s="66"/>
      <c r="S201" s="67"/>
      <c r="T201" s="66"/>
      <c r="U201" s="67"/>
      <c r="V201" s="66"/>
      <c r="W201" s="67"/>
      <c r="X201" s="66"/>
      <c r="Y201" s="67"/>
      <c r="Z201" s="8">
        <f>SUM(B201:Y201)</f>
        <v>0</v>
      </c>
      <c r="AA201" s="18"/>
    </row>
    <row r="202" spans="1:27" ht="18" customHeight="1">
      <c r="A202" s="28" t="s">
        <v>35</v>
      </c>
      <c r="B202" s="7">
        <v>0</v>
      </c>
      <c r="C202" s="7">
        <v>0</v>
      </c>
      <c r="D202" s="7">
        <v>0</v>
      </c>
      <c r="E202" s="7">
        <v>0</v>
      </c>
      <c r="F202" s="7">
        <f>SUM(B200-B201)</f>
        <v>0</v>
      </c>
      <c r="G202" s="7">
        <f t="shared" ref="G202" si="474">SUM(C200-C201)</f>
        <v>0</v>
      </c>
      <c r="H202" s="7">
        <f t="shared" ref="H202" si="475">SUM(D200-D201)</f>
        <v>0</v>
      </c>
      <c r="I202" s="7">
        <f t="shared" ref="I202" si="476">SUM(E200-E201)</f>
        <v>0</v>
      </c>
      <c r="J202" s="7">
        <f t="shared" ref="J202" si="477">SUM(F200-F201)</f>
        <v>0</v>
      </c>
      <c r="K202" s="7">
        <f t="shared" ref="K202" si="478">SUM(G200-G201)</f>
        <v>0</v>
      </c>
      <c r="L202" s="7">
        <f t="shared" ref="L202" si="479">SUM(H200-H201)</f>
        <v>0</v>
      </c>
      <c r="M202" s="7">
        <f t="shared" ref="M202" si="480">SUM(I200-I201)</f>
        <v>0</v>
      </c>
      <c r="N202" s="7">
        <f t="shared" ref="N202" si="481">SUM(J200-J201)</f>
        <v>0</v>
      </c>
      <c r="O202" s="7">
        <f t="shared" ref="O202" si="482">SUM(K200-K201)</f>
        <v>0</v>
      </c>
      <c r="P202" s="7">
        <f t="shared" ref="P202" si="483">SUM(L200-L201)</f>
        <v>0</v>
      </c>
      <c r="Q202" s="7">
        <f t="shared" ref="Q202" si="484">SUM(M200-M201)</f>
        <v>0</v>
      </c>
      <c r="R202" s="7">
        <f t="shared" ref="R202" si="485">SUM(N200-N201)</f>
        <v>0</v>
      </c>
      <c r="S202" s="7">
        <f t="shared" ref="S202" si="486">SUM(O200-O201)</f>
        <v>0</v>
      </c>
      <c r="T202" s="7">
        <f t="shared" ref="T202" si="487">SUM(P200-P201)</f>
        <v>0</v>
      </c>
      <c r="U202" s="7">
        <f t="shared" ref="U202" si="488">SUM(Q200-Q201)</f>
        <v>0</v>
      </c>
      <c r="V202" s="7">
        <f t="shared" ref="V202" si="489">SUM(R200-R201)</f>
        <v>0</v>
      </c>
      <c r="W202" s="7">
        <f t="shared" ref="W202" si="490">SUM(S200-S201)</f>
        <v>0</v>
      </c>
      <c r="X202" s="7">
        <f t="shared" ref="X202" si="491">SUM(T200-T201)</f>
        <v>0</v>
      </c>
      <c r="Y202" s="7">
        <f t="shared" ref="Y202" si="492">SUM(U200-U201)</f>
        <v>0</v>
      </c>
      <c r="Z202" s="8">
        <f>SUM(B202:Y202)</f>
        <v>0</v>
      </c>
      <c r="AA202" s="18">
        <f>SUM(Z201:Z202)</f>
        <v>0</v>
      </c>
    </row>
    <row r="203" spans="1:27" ht="17.25" customHeight="1" thickBot="1">
      <c r="A203" s="29" t="s">
        <v>39</v>
      </c>
      <c r="B203" s="325">
        <f>SUM(B202+C202)</f>
        <v>0</v>
      </c>
      <c r="C203" s="316"/>
      <c r="D203" s="315">
        <f t="shared" ref="D203" si="493">SUM(D202+E202)</f>
        <v>0</v>
      </c>
      <c r="E203" s="316"/>
      <c r="F203" s="315">
        <f t="shared" ref="F203" si="494">SUM(F202+G202)</f>
        <v>0</v>
      </c>
      <c r="G203" s="316"/>
      <c r="H203" s="315">
        <f t="shared" ref="H203" si="495">SUM(H202+I202)</f>
        <v>0</v>
      </c>
      <c r="I203" s="316"/>
      <c r="J203" s="315">
        <f t="shared" ref="J203" si="496">SUM(J202+K202)</f>
        <v>0</v>
      </c>
      <c r="K203" s="316"/>
      <c r="L203" s="315">
        <f t="shared" ref="L203" si="497">SUM(L202+M202)</f>
        <v>0</v>
      </c>
      <c r="M203" s="316"/>
      <c r="N203" s="315">
        <f t="shared" ref="N203" si="498">SUM(N202+O202)</f>
        <v>0</v>
      </c>
      <c r="O203" s="316"/>
      <c r="P203" s="315">
        <f t="shared" ref="P203" si="499">SUM(P202+Q202)</f>
        <v>0</v>
      </c>
      <c r="Q203" s="316"/>
      <c r="R203" s="315">
        <f t="shared" ref="R203" si="500">SUM(R202+S202)</f>
        <v>0</v>
      </c>
      <c r="S203" s="316"/>
      <c r="T203" s="315">
        <f t="shared" ref="T203" si="501">SUM(T202+U202)</f>
        <v>0</v>
      </c>
      <c r="U203" s="316"/>
      <c r="V203" s="315">
        <f t="shared" ref="V203" si="502">SUM(V202+W202)</f>
        <v>0</v>
      </c>
      <c r="W203" s="316"/>
      <c r="X203" s="315">
        <f t="shared" ref="X203" si="503">SUM(X202+Y202)</f>
        <v>0</v>
      </c>
      <c r="Y203" s="316"/>
      <c r="Z203" s="78"/>
      <c r="AA203" s="79"/>
    </row>
    <row r="204" spans="1:27" ht="18" customHeight="1" thickBot="1">
      <c r="A204" s="326" t="s">
        <v>93</v>
      </c>
      <c r="B204" s="317" t="s">
        <v>38</v>
      </c>
      <c r="C204" s="318"/>
      <c r="D204" s="317" t="s">
        <v>38</v>
      </c>
      <c r="E204" s="318"/>
      <c r="F204" s="317" t="s">
        <v>38</v>
      </c>
      <c r="G204" s="318"/>
      <c r="H204" s="317" t="s">
        <v>38</v>
      </c>
      <c r="I204" s="318"/>
      <c r="J204" s="317" t="s">
        <v>38</v>
      </c>
      <c r="K204" s="318"/>
      <c r="L204" s="317" t="s">
        <v>38</v>
      </c>
      <c r="M204" s="318"/>
      <c r="N204" s="317" t="s">
        <v>38</v>
      </c>
      <c r="O204" s="318"/>
      <c r="P204" s="317" t="s">
        <v>38</v>
      </c>
      <c r="Q204" s="318"/>
      <c r="R204" s="317" t="s">
        <v>38</v>
      </c>
      <c r="S204" s="318"/>
      <c r="T204" s="317" t="s">
        <v>38</v>
      </c>
      <c r="U204" s="318"/>
      <c r="V204" s="317" t="s">
        <v>38</v>
      </c>
      <c r="W204" s="318"/>
      <c r="X204" s="317" t="s">
        <v>38</v>
      </c>
      <c r="Y204" s="318"/>
      <c r="Z204" s="54" t="s">
        <v>11</v>
      </c>
      <c r="AA204" s="52" t="s">
        <v>13</v>
      </c>
    </row>
    <row r="205" spans="1:27" ht="18" customHeight="1" thickBot="1">
      <c r="A205" s="327"/>
      <c r="B205" s="56" t="s">
        <v>2</v>
      </c>
      <c r="C205" s="57" t="s">
        <v>3</v>
      </c>
      <c r="D205" s="58" t="s">
        <v>2</v>
      </c>
      <c r="E205" s="59" t="s">
        <v>3</v>
      </c>
      <c r="F205" s="56" t="s">
        <v>2</v>
      </c>
      <c r="G205" s="57" t="s">
        <v>3</v>
      </c>
      <c r="H205" s="58" t="s">
        <v>2</v>
      </c>
      <c r="I205" s="59" t="s">
        <v>3</v>
      </c>
      <c r="J205" s="56" t="s">
        <v>2</v>
      </c>
      <c r="K205" s="57" t="s">
        <v>3</v>
      </c>
      <c r="L205" s="58" t="s">
        <v>2</v>
      </c>
      <c r="M205" s="59" t="s">
        <v>3</v>
      </c>
      <c r="N205" s="56" t="s">
        <v>2</v>
      </c>
      <c r="O205" s="57" t="s">
        <v>3</v>
      </c>
      <c r="P205" s="58" t="s">
        <v>2</v>
      </c>
      <c r="Q205" s="59" t="s">
        <v>3</v>
      </c>
      <c r="R205" s="56" t="s">
        <v>2</v>
      </c>
      <c r="S205" s="57" t="s">
        <v>3</v>
      </c>
      <c r="T205" s="58" t="s">
        <v>2</v>
      </c>
      <c r="U205" s="59" t="s">
        <v>3</v>
      </c>
      <c r="V205" s="58" t="s">
        <v>2</v>
      </c>
      <c r="W205" s="59" t="s">
        <v>3</v>
      </c>
      <c r="X205" s="58" t="s">
        <v>2</v>
      </c>
      <c r="Y205" s="59" t="s">
        <v>3</v>
      </c>
      <c r="Z205" s="53"/>
      <c r="AA205" s="51"/>
    </row>
    <row r="206" spans="1:27" ht="18" customHeight="1">
      <c r="A206" s="75" t="s">
        <v>4</v>
      </c>
      <c r="B206" s="65"/>
      <c r="C206" s="65"/>
      <c r="D206" s="64"/>
      <c r="E206" s="65"/>
      <c r="F206" s="64"/>
      <c r="G206" s="65"/>
      <c r="H206" s="64"/>
      <c r="I206" s="65"/>
      <c r="J206" s="64"/>
      <c r="K206" s="65"/>
      <c r="L206" s="64"/>
      <c r="M206" s="65"/>
      <c r="N206" s="64"/>
      <c r="O206" s="65"/>
      <c r="P206" s="64"/>
      <c r="Q206" s="65"/>
      <c r="R206" s="64"/>
      <c r="S206" s="65"/>
      <c r="T206" s="64"/>
      <c r="U206" s="65"/>
      <c r="V206" s="64"/>
      <c r="W206" s="65"/>
      <c r="X206" s="64"/>
      <c r="Y206" s="65"/>
      <c r="Z206" s="7">
        <f>SUM(B206:Y206)</f>
        <v>0</v>
      </c>
      <c r="AA206" s="10"/>
    </row>
    <row r="207" spans="1:27" ht="18" customHeight="1" thickBot="1">
      <c r="A207" s="76" t="s">
        <v>37</v>
      </c>
      <c r="B207" s="67"/>
      <c r="C207" s="67"/>
      <c r="D207" s="66"/>
      <c r="E207" s="67"/>
      <c r="F207" s="66"/>
      <c r="G207" s="67"/>
      <c r="H207" s="66"/>
      <c r="I207" s="67"/>
      <c r="J207" s="66"/>
      <c r="K207" s="67"/>
      <c r="L207" s="66"/>
      <c r="M207" s="67"/>
      <c r="N207" s="66"/>
      <c r="O207" s="67"/>
      <c r="P207" s="66"/>
      <c r="Q207" s="67"/>
      <c r="R207" s="66"/>
      <c r="S207" s="67"/>
      <c r="T207" s="66"/>
      <c r="U207" s="67"/>
      <c r="V207" s="66"/>
      <c r="W207" s="67"/>
      <c r="X207" s="66"/>
      <c r="Y207" s="67"/>
      <c r="Z207" s="11">
        <f>SUM(B207:Y207)</f>
        <v>0</v>
      </c>
      <c r="AA207" s="9">
        <f>SUM(Z206:Z207)</f>
        <v>0</v>
      </c>
    </row>
    <row r="208" spans="1:27" ht="18" customHeight="1">
      <c r="A208" s="77" t="s">
        <v>34</v>
      </c>
      <c r="B208" s="73"/>
      <c r="C208" s="64"/>
      <c r="D208" s="64"/>
      <c r="E208" s="65"/>
      <c r="F208" s="64"/>
      <c r="G208" s="65"/>
      <c r="H208" s="64"/>
      <c r="I208" s="65"/>
      <c r="J208" s="64"/>
      <c r="K208" s="65"/>
      <c r="L208" s="64"/>
      <c r="M208" s="65"/>
      <c r="N208" s="64"/>
      <c r="O208" s="65"/>
      <c r="P208" s="64"/>
      <c r="Q208" s="65"/>
      <c r="R208" s="64"/>
      <c r="S208" s="65"/>
      <c r="T208" s="64"/>
      <c r="U208" s="65"/>
      <c r="V208" s="64"/>
      <c r="W208" s="65"/>
      <c r="X208" s="64"/>
      <c r="Y208" s="65"/>
      <c r="Z208" s="13">
        <f>SUM(B208:Y208)</f>
        <v>0</v>
      </c>
      <c r="AA208" s="5"/>
    </row>
    <row r="209" spans="1:27" ht="18" customHeight="1" thickBot="1">
      <c r="A209" s="28" t="s">
        <v>0</v>
      </c>
      <c r="B209" s="74"/>
      <c r="C209" s="66"/>
      <c r="D209" s="66"/>
      <c r="E209" s="67"/>
      <c r="F209" s="66"/>
      <c r="G209" s="67"/>
      <c r="H209" s="66"/>
      <c r="I209" s="67"/>
      <c r="J209" s="66"/>
      <c r="K209" s="67"/>
      <c r="L209" s="66"/>
      <c r="M209" s="67"/>
      <c r="N209" s="66"/>
      <c r="O209" s="67"/>
      <c r="P209" s="66"/>
      <c r="Q209" s="67"/>
      <c r="R209" s="66"/>
      <c r="S209" s="67"/>
      <c r="T209" s="66"/>
      <c r="U209" s="67"/>
      <c r="V209" s="66"/>
      <c r="W209" s="67"/>
      <c r="X209" s="66"/>
      <c r="Y209" s="67"/>
      <c r="Z209" s="8">
        <f>SUM(B209:Y209)</f>
        <v>0</v>
      </c>
      <c r="AA209" s="18"/>
    </row>
    <row r="210" spans="1:27" ht="18" customHeight="1">
      <c r="A210" s="28" t="s">
        <v>35</v>
      </c>
      <c r="B210" s="7">
        <v>0</v>
      </c>
      <c r="C210" s="7">
        <v>0</v>
      </c>
      <c r="D210" s="7">
        <v>0</v>
      </c>
      <c r="E210" s="7">
        <v>0</v>
      </c>
      <c r="F210" s="7">
        <f>SUM(B208-B209)</f>
        <v>0</v>
      </c>
      <c r="G210" s="7">
        <f t="shared" ref="G210" si="504">SUM(C208-C209)</f>
        <v>0</v>
      </c>
      <c r="H210" s="7">
        <f t="shared" ref="H210" si="505">SUM(D208-D209)</f>
        <v>0</v>
      </c>
      <c r="I210" s="7">
        <f t="shared" ref="I210" si="506">SUM(E208-E209)</f>
        <v>0</v>
      </c>
      <c r="J210" s="7">
        <f t="shared" ref="J210" si="507">SUM(F208-F209)</f>
        <v>0</v>
      </c>
      <c r="K210" s="7">
        <f t="shared" ref="K210" si="508">SUM(G208-G209)</f>
        <v>0</v>
      </c>
      <c r="L210" s="7">
        <f t="shared" ref="L210" si="509">SUM(H208-H209)</f>
        <v>0</v>
      </c>
      <c r="M210" s="7">
        <f t="shared" ref="M210" si="510">SUM(I208-I209)</f>
        <v>0</v>
      </c>
      <c r="N210" s="7">
        <f t="shared" ref="N210" si="511">SUM(J208-J209)</f>
        <v>0</v>
      </c>
      <c r="O210" s="7">
        <f t="shared" ref="O210" si="512">SUM(K208-K209)</f>
        <v>0</v>
      </c>
      <c r="P210" s="7">
        <f t="shared" ref="P210" si="513">SUM(L208-L209)</f>
        <v>0</v>
      </c>
      <c r="Q210" s="7">
        <f t="shared" ref="Q210" si="514">SUM(M208-M209)</f>
        <v>0</v>
      </c>
      <c r="R210" s="7">
        <f t="shared" ref="R210" si="515">SUM(N208-N209)</f>
        <v>0</v>
      </c>
      <c r="S210" s="7">
        <f t="shared" ref="S210" si="516">SUM(O208-O209)</f>
        <v>0</v>
      </c>
      <c r="T210" s="7">
        <f t="shared" ref="T210" si="517">SUM(P208-P209)</f>
        <v>0</v>
      </c>
      <c r="U210" s="7">
        <f t="shared" ref="U210" si="518">SUM(Q208-Q209)</f>
        <v>0</v>
      </c>
      <c r="V210" s="7">
        <f t="shared" ref="V210" si="519">SUM(R208-R209)</f>
        <v>0</v>
      </c>
      <c r="W210" s="7">
        <f t="shared" ref="W210" si="520">SUM(S208-S209)</f>
        <v>0</v>
      </c>
      <c r="X210" s="7">
        <f t="shared" ref="X210" si="521">SUM(T208-T209)</f>
        <v>0</v>
      </c>
      <c r="Y210" s="7">
        <f t="shared" ref="Y210" si="522">SUM(U208-U209)</f>
        <v>0</v>
      </c>
      <c r="Z210" s="8">
        <f>SUM(B210:Y210)</f>
        <v>0</v>
      </c>
      <c r="AA210" s="18">
        <f>SUM(Z209:Z210)</f>
        <v>0</v>
      </c>
    </row>
    <row r="211" spans="1:27" ht="17.25" customHeight="1" thickBot="1">
      <c r="A211" s="29" t="s">
        <v>39</v>
      </c>
      <c r="B211" s="325">
        <f>SUM(B210+C210)</f>
        <v>0</v>
      </c>
      <c r="C211" s="316"/>
      <c r="D211" s="315">
        <f t="shared" ref="D211" si="523">SUM(D210+E210)</f>
        <v>0</v>
      </c>
      <c r="E211" s="316"/>
      <c r="F211" s="315">
        <f t="shared" ref="F211" si="524">SUM(F210+G210)</f>
        <v>0</v>
      </c>
      <c r="G211" s="316"/>
      <c r="H211" s="315">
        <f t="shared" ref="H211" si="525">SUM(H210+I210)</f>
        <v>0</v>
      </c>
      <c r="I211" s="316"/>
      <c r="J211" s="315">
        <f t="shared" ref="J211" si="526">SUM(J210+K210)</f>
        <v>0</v>
      </c>
      <c r="K211" s="316"/>
      <c r="L211" s="315">
        <f t="shared" ref="L211" si="527">SUM(L210+M210)</f>
        <v>0</v>
      </c>
      <c r="M211" s="316"/>
      <c r="N211" s="315">
        <f t="shared" ref="N211" si="528">SUM(N210+O210)</f>
        <v>0</v>
      </c>
      <c r="O211" s="316"/>
      <c r="P211" s="315">
        <f t="shared" ref="P211" si="529">SUM(P210+Q210)</f>
        <v>0</v>
      </c>
      <c r="Q211" s="316"/>
      <c r="R211" s="315">
        <f t="shared" ref="R211" si="530">SUM(R210+S210)</f>
        <v>0</v>
      </c>
      <c r="S211" s="316"/>
      <c r="T211" s="315">
        <f t="shared" ref="T211" si="531">SUM(T210+U210)</f>
        <v>0</v>
      </c>
      <c r="U211" s="316"/>
      <c r="V211" s="315">
        <f t="shared" ref="V211" si="532">SUM(V210+W210)</f>
        <v>0</v>
      </c>
      <c r="W211" s="316"/>
      <c r="X211" s="315">
        <f t="shared" ref="X211" si="533">SUM(X210+Y210)</f>
        <v>0</v>
      </c>
      <c r="Y211" s="316"/>
      <c r="Z211" s="78"/>
      <c r="AA211" s="79"/>
    </row>
    <row r="212" spans="1:27" ht="18" customHeight="1" thickBot="1">
      <c r="A212" s="326" t="s">
        <v>94</v>
      </c>
      <c r="B212" s="317" t="s">
        <v>38</v>
      </c>
      <c r="C212" s="318"/>
      <c r="D212" s="317" t="s">
        <v>38</v>
      </c>
      <c r="E212" s="318"/>
      <c r="F212" s="317" t="s">
        <v>38</v>
      </c>
      <c r="G212" s="318"/>
      <c r="H212" s="317" t="s">
        <v>38</v>
      </c>
      <c r="I212" s="318"/>
      <c r="J212" s="317" t="s">
        <v>38</v>
      </c>
      <c r="K212" s="318"/>
      <c r="L212" s="317" t="s">
        <v>38</v>
      </c>
      <c r="M212" s="318"/>
      <c r="N212" s="317" t="s">
        <v>38</v>
      </c>
      <c r="O212" s="318"/>
      <c r="P212" s="317" t="s">
        <v>38</v>
      </c>
      <c r="Q212" s="318"/>
      <c r="R212" s="317" t="s">
        <v>38</v>
      </c>
      <c r="S212" s="318"/>
      <c r="T212" s="317" t="s">
        <v>38</v>
      </c>
      <c r="U212" s="318"/>
      <c r="V212" s="317" t="s">
        <v>38</v>
      </c>
      <c r="W212" s="318"/>
      <c r="X212" s="317" t="s">
        <v>38</v>
      </c>
      <c r="Y212" s="318"/>
      <c r="Z212" s="54" t="s">
        <v>11</v>
      </c>
      <c r="AA212" s="52" t="s">
        <v>13</v>
      </c>
    </row>
    <row r="213" spans="1:27" ht="18" customHeight="1" thickBot="1">
      <c r="A213" s="327"/>
      <c r="B213" s="56" t="s">
        <v>2</v>
      </c>
      <c r="C213" s="57" t="s">
        <v>3</v>
      </c>
      <c r="D213" s="58" t="s">
        <v>2</v>
      </c>
      <c r="E213" s="59" t="s">
        <v>3</v>
      </c>
      <c r="F213" s="56" t="s">
        <v>2</v>
      </c>
      <c r="G213" s="57" t="s">
        <v>3</v>
      </c>
      <c r="H213" s="58" t="s">
        <v>2</v>
      </c>
      <c r="I213" s="59" t="s">
        <v>3</v>
      </c>
      <c r="J213" s="56" t="s">
        <v>2</v>
      </c>
      <c r="K213" s="57" t="s">
        <v>3</v>
      </c>
      <c r="L213" s="58" t="s">
        <v>2</v>
      </c>
      <c r="M213" s="59" t="s">
        <v>3</v>
      </c>
      <c r="N213" s="56" t="s">
        <v>2</v>
      </c>
      <c r="O213" s="57" t="s">
        <v>3</v>
      </c>
      <c r="P213" s="58" t="s">
        <v>2</v>
      </c>
      <c r="Q213" s="59" t="s">
        <v>3</v>
      </c>
      <c r="R213" s="56" t="s">
        <v>2</v>
      </c>
      <c r="S213" s="57" t="s">
        <v>3</v>
      </c>
      <c r="T213" s="58" t="s">
        <v>2</v>
      </c>
      <c r="U213" s="59" t="s">
        <v>3</v>
      </c>
      <c r="V213" s="58" t="s">
        <v>2</v>
      </c>
      <c r="W213" s="59" t="s">
        <v>3</v>
      </c>
      <c r="X213" s="58" t="s">
        <v>2</v>
      </c>
      <c r="Y213" s="59" t="s">
        <v>3</v>
      </c>
      <c r="Z213" s="53"/>
      <c r="AA213" s="51"/>
    </row>
    <row r="214" spans="1:27" ht="18" customHeight="1">
      <c r="A214" s="75" t="s">
        <v>4</v>
      </c>
      <c r="B214" s="65"/>
      <c r="C214" s="65"/>
      <c r="D214" s="64"/>
      <c r="E214" s="65"/>
      <c r="F214" s="64"/>
      <c r="G214" s="65"/>
      <c r="H214" s="64"/>
      <c r="I214" s="65"/>
      <c r="J214" s="64"/>
      <c r="K214" s="65"/>
      <c r="L214" s="64"/>
      <c r="M214" s="65"/>
      <c r="N214" s="64"/>
      <c r="O214" s="65"/>
      <c r="P214" s="64"/>
      <c r="Q214" s="65"/>
      <c r="R214" s="64"/>
      <c r="S214" s="65"/>
      <c r="T214" s="64"/>
      <c r="U214" s="65"/>
      <c r="V214" s="64"/>
      <c r="W214" s="65"/>
      <c r="X214" s="64"/>
      <c r="Y214" s="65"/>
      <c r="Z214" s="7">
        <f>SUM(B214:Y214)</f>
        <v>0</v>
      </c>
      <c r="AA214" s="10"/>
    </row>
    <row r="215" spans="1:27" ht="18" customHeight="1" thickBot="1">
      <c r="A215" s="76" t="s">
        <v>37</v>
      </c>
      <c r="B215" s="67"/>
      <c r="C215" s="67"/>
      <c r="D215" s="66"/>
      <c r="E215" s="67"/>
      <c r="F215" s="66"/>
      <c r="G215" s="67"/>
      <c r="H215" s="66"/>
      <c r="I215" s="67"/>
      <c r="J215" s="66"/>
      <c r="K215" s="67"/>
      <c r="L215" s="66"/>
      <c r="M215" s="67"/>
      <c r="N215" s="66"/>
      <c r="O215" s="67"/>
      <c r="P215" s="66"/>
      <c r="Q215" s="67"/>
      <c r="R215" s="66"/>
      <c r="S215" s="67"/>
      <c r="T215" s="66"/>
      <c r="U215" s="67"/>
      <c r="V215" s="66"/>
      <c r="W215" s="67"/>
      <c r="X215" s="66"/>
      <c r="Y215" s="67"/>
      <c r="Z215" s="11">
        <f>SUM(B215:Y215)</f>
        <v>0</v>
      </c>
      <c r="AA215" s="9">
        <f>SUM(Z214:Z215)</f>
        <v>0</v>
      </c>
    </row>
    <row r="216" spans="1:27" ht="18" customHeight="1">
      <c r="A216" s="77" t="s">
        <v>34</v>
      </c>
      <c r="B216" s="73"/>
      <c r="C216" s="64"/>
      <c r="D216" s="64"/>
      <c r="E216" s="65"/>
      <c r="F216" s="64"/>
      <c r="G216" s="65"/>
      <c r="H216" s="64"/>
      <c r="I216" s="65"/>
      <c r="J216" s="64"/>
      <c r="K216" s="65"/>
      <c r="L216" s="64"/>
      <c r="M216" s="65"/>
      <c r="N216" s="64"/>
      <c r="O216" s="65"/>
      <c r="P216" s="64"/>
      <c r="Q216" s="65"/>
      <c r="R216" s="64"/>
      <c r="S216" s="65"/>
      <c r="T216" s="64"/>
      <c r="U216" s="65"/>
      <c r="V216" s="64"/>
      <c r="W216" s="65"/>
      <c r="X216" s="64"/>
      <c r="Y216" s="65"/>
      <c r="Z216" s="13">
        <f>SUM(B216:Y216)</f>
        <v>0</v>
      </c>
      <c r="AA216" s="5"/>
    </row>
    <row r="217" spans="1:27" ht="18" customHeight="1" thickBot="1">
      <c r="A217" s="28" t="s">
        <v>0</v>
      </c>
      <c r="B217" s="74"/>
      <c r="C217" s="66"/>
      <c r="D217" s="66"/>
      <c r="E217" s="67"/>
      <c r="F217" s="66"/>
      <c r="G217" s="67"/>
      <c r="H217" s="66"/>
      <c r="I217" s="67"/>
      <c r="J217" s="66"/>
      <c r="K217" s="67"/>
      <c r="L217" s="66"/>
      <c r="M217" s="67"/>
      <c r="N217" s="66"/>
      <c r="O217" s="67"/>
      <c r="P217" s="66"/>
      <c r="Q217" s="67"/>
      <c r="R217" s="66"/>
      <c r="S217" s="67"/>
      <c r="T217" s="66"/>
      <c r="U217" s="67"/>
      <c r="V217" s="66"/>
      <c r="W217" s="67"/>
      <c r="X217" s="66"/>
      <c r="Y217" s="67"/>
      <c r="Z217" s="8">
        <f>SUM(B217:Y217)</f>
        <v>0</v>
      </c>
      <c r="AA217" s="18"/>
    </row>
    <row r="218" spans="1:27" ht="18" customHeight="1">
      <c r="A218" s="28" t="s">
        <v>35</v>
      </c>
      <c r="B218" s="7">
        <v>0</v>
      </c>
      <c r="C218" s="7">
        <v>0</v>
      </c>
      <c r="D218" s="7">
        <v>0</v>
      </c>
      <c r="E218" s="7">
        <v>0</v>
      </c>
      <c r="F218" s="7">
        <f>SUM(B216-B217)</f>
        <v>0</v>
      </c>
      <c r="G218" s="7">
        <f t="shared" ref="G218" si="534">SUM(C216-C217)</f>
        <v>0</v>
      </c>
      <c r="H218" s="7">
        <f t="shared" ref="H218" si="535">SUM(D216-D217)</f>
        <v>0</v>
      </c>
      <c r="I218" s="7">
        <f t="shared" ref="I218" si="536">SUM(E216-E217)</f>
        <v>0</v>
      </c>
      <c r="J218" s="7">
        <f t="shared" ref="J218" si="537">SUM(F216-F217)</f>
        <v>0</v>
      </c>
      <c r="K218" s="7">
        <f t="shared" ref="K218" si="538">SUM(G216-G217)</f>
        <v>0</v>
      </c>
      <c r="L218" s="7">
        <f t="shared" ref="L218" si="539">SUM(H216-H217)</f>
        <v>0</v>
      </c>
      <c r="M218" s="7">
        <f t="shared" ref="M218" si="540">SUM(I216-I217)</f>
        <v>0</v>
      </c>
      <c r="N218" s="7">
        <f t="shared" ref="N218" si="541">SUM(J216-J217)</f>
        <v>0</v>
      </c>
      <c r="O218" s="7">
        <f t="shared" ref="O218" si="542">SUM(K216-K217)</f>
        <v>0</v>
      </c>
      <c r="P218" s="7">
        <f t="shared" ref="P218" si="543">SUM(L216-L217)</f>
        <v>0</v>
      </c>
      <c r="Q218" s="7">
        <f t="shared" ref="Q218" si="544">SUM(M216-M217)</f>
        <v>0</v>
      </c>
      <c r="R218" s="7">
        <f t="shared" ref="R218" si="545">SUM(N216-N217)</f>
        <v>0</v>
      </c>
      <c r="S218" s="7">
        <f t="shared" ref="S218" si="546">SUM(O216-O217)</f>
        <v>0</v>
      </c>
      <c r="T218" s="7">
        <f t="shared" ref="T218" si="547">SUM(P216-P217)</f>
        <v>0</v>
      </c>
      <c r="U218" s="7">
        <f t="shared" ref="U218" si="548">SUM(Q216-Q217)</f>
        <v>0</v>
      </c>
      <c r="V218" s="7">
        <f t="shared" ref="V218" si="549">SUM(R216-R217)</f>
        <v>0</v>
      </c>
      <c r="W218" s="7">
        <f t="shared" ref="W218" si="550">SUM(S216-S217)</f>
        <v>0</v>
      </c>
      <c r="X218" s="7">
        <f t="shared" ref="X218" si="551">SUM(T216-T217)</f>
        <v>0</v>
      </c>
      <c r="Y218" s="7">
        <f t="shared" ref="Y218" si="552">SUM(U216-U217)</f>
        <v>0</v>
      </c>
      <c r="Z218" s="8">
        <f>SUM(B218:Y218)</f>
        <v>0</v>
      </c>
      <c r="AA218" s="18">
        <f>SUM(Z217:Z218)</f>
        <v>0</v>
      </c>
    </row>
    <row r="219" spans="1:27" ht="17.25" customHeight="1" thickBot="1">
      <c r="A219" s="29" t="s">
        <v>39</v>
      </c>
      <c r="B219" s="325">
        <f>SUM(B218+C218)</f>
        <v>0</v>
      </c>
      <c r="C219" s="316"/>
      <c r="D219" s="315">
        <f t="shared" ref="D219" si="553">SUM(D218+E218)</f>
        <v>0</v>
      </c>
      <c r="E219" s="316"/>
      <c r="F219" s="315">
        <f t="shared" ref="F219" si="554">SUM(F218+G218)</f>
        <v>0</v>
      </c>
      <c r="G219" s="316"/>
      <c r="H219" s="315">
        <f t="shared" ref="H219" si="555">SUM(H218+I218)</f>
        <v>0</v>
      </c>
      <c r="I219" s="316"/>
      <c r="J219" s="315">
        <f t="shared" ref="J219" si="556">SUM(J218+K218)</f>
        <v>0</v>
      </c>
      <c r="K219" s="316"/>
      <c r="L219" s="315">
        <f t="shared" ref="L219" si="557">SUM(L218+M218)</f>
        <v>0</v>
      </c>
      <c r="M219" s="316"/>
      <c r="N219" s="315">
        <f t="shared" ref="N219" si="558">SUM(N218+O218)</f>
        <v>0</v>
      </c>
      <c r="O219" s="316"/>
      <c r="P219" s="315">
        <f t="shared" ref="P219" si="559">SUM(P218+Q218)</f>
        <v>0</v>
      </c>
      <c r="Q219" s="316"/>
      <c r="R219" s="315">
        <f t="shared" ref="R219" si="560">SUM(R218+S218)</f>
        <v>0</v>
      </c>
      <c r="S219" s="316"/>
      <c r="T219" s="315">
        <f t="shared" ref="T219" si="561">SUM(T218+U218)</f>
        <v>0</v>
      </c>
      <c r="U219" s="316"/>
      <c r="V219" s="315">
        <f t="shared" ref="V219" si="562">SUM(V218+W218)</f>
        <v>0</v>
      </c>
      <c r="W219" s="316"/>
      <c r="X219" s="315">
        <f t="shared" ref="X219" si="563">SUM(X218+Y218)</f>
        <v>0</v>
      </c>
      <c r="Y219" s="316"/>
      <c r="Z219" s="78"/>
      <c r="AA219" s="79"/>
    </row>
    <row r="220" spans="1:27" ht="18" customHeight="1" thickBot="1">
      <c r="A220" s="326" t="s">
        <v>95</v>
      </c>
      <c r="B220" s="317" t="s">
        <v>38</v>
      </c>
      <c r="C220" s="318"/>
      <c r="D220" s="317" t="s">
        <v>38</v>
      </c>
      <c r="E220" s="318"/>
      <c r="F220" s="317" t="s">
        <v>38</v>
      </c>
      <c r="G220" s="318"/>
      <c r="H220" s="317" t="s">
        <v>38</v>
      </c>
      <c r="I220" s="318"/>
      <c r="J220" s="317" t="s">
        <v>38</v>
      </c>
      <c r="K220" s="318"/>
      <c r="L220" s="317" t="s">
        <v>38</v>
      </c>
      <c r="M220" s="318"/>
      <c r="N220" s="317" t="s">
        <v>38</v>
      </c>
      <c r="O220" s="318"/>
      <c r="P220" s="317" t="s">
        <v>38</v>
      </c>
      <c r="Q220" s="318"/>
      <c r="R220" s="317" t="s">
        <v>38</v>
      </c>
      <c r="S220" s="318"/>
      <c r="T220" s="317" t="s">
        <v>38</v>
      </c>
      <c r="U220" s="318"/>
      <c r="V220" s="317" t="s">
        <v>38</v>
      </c>
      <c r="W220" s="318"/>
      <c r="X220" s="317" t="s">
        <v>38</v>
      </c>
      <c r="Y220" s="318"/>
      <c r="Z220" s="54" t="s">
        <v>11</v>
      </c>
      <c r="AA220" s="52" t="s">
        <v>13</v>
      </c>
    </row>
    <row r="221" spans="1:27" ht="18" customHeight="1" thickBot="1">
      <c r="A221" s="327"/>
      <c r="B221" s="56" t="s">
        <v>2</v>
      </c>
      <c r="C221" s="57" t="s">
        <v>3</v>
      </c>
      <c r="D221" s="58" t="s">
        <v>2</v>
      </c>
      <c r="E221" s="59" t="s">
        <v>3</v>
      </c>
      <c r="F221" s="56" t="s">
        <v>2</v>
      </c>
      <c r="G221" s="57" t="s">
        <v>3</v>
      </c>
      <c r="H221" s="58" t="s">
        <v>2</v>
      </c>
      <c r="I221" s="59" t="s">
        <v>3</v>
      </c>
      <c r="J221" s="56" t="s">
        <v>2</v>
      </c>
      <c r="K221" s="57" t="s">
        <v>3</v>
      </c>
      <c r="L221" s="58" t="s">
        <v>2</v>
      </c>
      <c r="M221" s="59" t="s">
        <v>3</v>
      </c>
      <c r="N221" s="56" t="s">
        <v>2</v>
      </c>
      <c r="O221" s="57" t="s">
        <v>3</v>
      </c>
      <c r="P221" s="58" t="s">
        <v>2</v>
      </c>
      <c r="Q221" s="59" t="s">
        <v>3</v>
      </c>
      <c r="R221" s="56" t="s">
        <v>2</v>
      </c>
      <c r="S221" s="57" t="s">
        <v>3</v>
      </c>
      <c r="T221" s="58" t="s">
        <v>2</v>
      </c>
      <c r="U221" s="59" t="s">
        <v>3</v>
      </c>
      <c r="V221" s="58" t="s">
        <v>2</v>
      </c>
      <c r="W221" s="59" t="s">
        <v>3</v>
      </c>
      <c r="X221" s="58" t="s">
        <v>2</v>
      </c>
      <c r="Y221" s="59" t="s">
        <v>3</v>
      </c>
      <c r="Z221" s="53"/>
      <c r="AA221" s="51"/>
    </row>
    <row r="222" spans="1:27" ht="18" customHeight="1">
      <c r="A222" s="75" t="s">
        <v>4</v>
      </c>
      <c r="B222" s="65"/>
      <c r="C222" s="65"/>
      <c r="D222" s="64"/>
      <c r="E222" s="65"/>
      <c r="F222" s="64"/>
      <c r="G222" s="65"/>
      <c r="H222" s="64"/>
      <c r="I222" s="65"/>
      <c r="J222" s="64"/>
      <c r="K222" s="65"/>
      <c r="L222" s="64"/>
      <c r="M222" s="65"/>
      <c r="N222" s="64"/>
      <c r="O222" s="65"/>
      <c r="P222" s="64"/>
      <c r="Q222" s="65"/>
      <c r="R222" s="64"/>
      <c r="S222" s="65"/>
      <c r="T222" s="64"/>
      <c r="U222" s="65"/>
      <c r="V222" s="64"/>
      <c r="W222" s="65"/>
      <c r="X222" s="64"/>
      <c r="Y222" s="65"/>
      <c r="Z222" s="7">
        <f>SUM(B222:Y222)</f>
        <v>0</v>
      </c>
      <c r="AA222" s="10"/>
    </row>
    <row r="223" spans="1:27" ht="18" customHeight="1" thickBot="1">
      <c r="A223" s="76" t="s">
        <v>37</v>
      </c>
      <c r="B223" s="67"/>
      <c r="C223" s="67"/>
      <c r="D223" s="66"/>
      <c r="E223" s="67"/>
      <c r="F223" s="66"/>
      <c r="G223" s="67"/>
      <c r="H223" s="66"/>
      <c r="I223" s="67"/>
      <c r="J223" s="66"/>
      <c r="K223" s="67"/>
      <c r="L223" s="66"/>
      <c r="M223" s="67"/>
      <c r="N223" s="66"/>
      <c r="O223" s="67"/>
      <c r="P223" s="66"/>
      <c r="Q223" s="67"/>
      <c r="R223" s="66"/>
      <c r="S223" s="67"/>
      <c r="T223" s="66"/>
      <c r="U223" s="67"/>
      <c r="V223" s="66"/>
      <c r="W223" s="67"/>
      <c r="X223" s="66"/>
      <c r="Y223" s="67"/>
      <c r="Z223" s="11">
        <f>SUM(B223:Y223)</f>
        <v>0</v>
      </c>
      <c r="AA223" s="9">
        <f>SUM(Z222:Z223)</f>
        <v>0</v>
      </c>
    </row>
    <row r="224" spans="1:27" ht="18" customHeight="1">
      <c r="A224" s="77" t="s">
        <v>34</v>
      </c>
      <c r="B224" s="73"/>
      <c r="C224" s="64"/>
      <c r="D224" s="64"/>
      <c r="E224" s="65"/>
      <c r="F224" s="64"/>
      <c r="G224" s="65"/>
      <c r="H224" s="64"/>
      <c r="I224" s="65"/>
      <c r="J224" s="64"/>
      <c r="K224" s="65"/>
      <c r="L224" s="64"/>
      <c r="M224" s="65"/>
      <c r="N224" s="64"/>
      <c r="O224" s="65"/>
      <c r="P224" s="64"/>
      <c r="Q224" s="65"/>
      <c r="R224" s="64"/>
      <c r="S224" s="65"/>
      <c r="T224" s="64"/>
      <c r="U224" s="65"/>
      <c r="V224" s="64"/>
      <c r="W224" s="65"/>
      <c r="X224" s="64"/>
      <c r="Y224" s="65"/>
      <c r="Z224" s="13">
        <f>SUM(B224:Y224)</f>
        <v>0</v>
      </c>
      <c r="AA224" s="5"/>
    </row>
    <row r="225" spans="1:27" ht="18" customHeight="1" thickBot="1">
      <c r="A225" s="28" t="s">
        <v>0</v>
      </c>
      <c r="B225" s="74"/>
      <c r="C225" s="66"/>
      <c r="D225" s="66"/>
      <c r="E225" s="67"/>
      <c r="F225" s="66"/>
      <c r="G225" s="67"/>
      <c r="H225" s="66"/>
      <c r="I225" s="67"/>
      <c r="J225" s="66"/>
      <c r="K225" s="67"/>
      <c r="L225" s="66"/>
      <c r="M225" s="67"/>
      <c r="N225" s="66"/>
      <c r="O225" s="67"/>
      <c r="P225" s="66"/>
      <c r="Q225" s="67"/>
      <c r="R225" s="66"/>
      <c r="S225" s="67"/>
      <c r="T225" s="66"/>
      <c r="U225" s="67"/>
      <c r="V225" s="66"/>
      <c r="W225" s="67"/>
      <c r="X225" s="66"/>
      <c r="Y225" s="67"/>
      <c r="Z225" s="8">
        <f>SUM(B225:Y225)</f>
        <v>0</v>
      </c>
      <c r="AA225" s="18"/>
    </row>
    <row r="226" spans="1:27" ht="18" customHeight="1">
      <c r="A226" s="28" t="s">
        <v>35</v>
      </c>
      <c r="B226" s="7">
        <v>0</v>
      </c>
      <c r="C226" s="7">
        <v>0</v>
      </c>
      <c r="D226" s="7">
        <v>0</v>
      </c>
      <c r="E226" s="7">
        <v>0</v>
      </c>
      <c r="F226" s="7">
        <f>SUM(B224-B225)</f>
        <v>0</v>
      </c>
      <c r="G226" s="7">
        <f t="shared" ref="G226" si="564">SUM(C224-C225)</f>
        <v>0</v>
      </c>
      <c r="H226" s="7">
        <f t="shared" ref="H226" si="565">SUM(D224-D225)</f>
        <v>0</v>
      </c>
      <c r="I226" s="7">
        <f t="shared" ref="I226" si="566">SUM(E224-E225)</f>
        <v>0</v>
      </c>
      <c r="J226" s="7">
        <f t="shared" ref="J226" si="567">SUM(F224-F225)</f>
        <v>0</v>
      </c>
      <c r="K226" s="7">
        <f t="shared" ref="K226" si="568">SUM(G224-G225)</f>
        <v>0</v>
      </c>
      <c r="L226" s="7">
        <f t="shared" ref="L226" si="569">SUM(H224-H225)</f>
        <v>0</v>
      </c>
      <c r="M226" s="7">
        <f t="shared" ref="M226" si="570">SUM(I224-I225)</f>
        <v>0</v>
      </c>
      <c r="N226" s="7">
        <f t="shared" ref="N226" si="571">SUM(J224-J225)</f>
        <v>0</v>
      </c>
      <c r="O226" s="7">
        <f t="shared" ref="O226" si="572">SUM(K224-K225)</f>
        <v>0</v>
      </c>
      <c r="P226" s="7">
        <f t="shared" ref="P226" si="573">SUM(L224-L225)</f>
        <v>0</v>
      </c>
      <c r="Q226" s="7">
        <f t="shared" ref="Q226" si="574">SUM(M224-M225)</f>
        <v>0</v>
      </c>
      <c r="R226" s="7">
        <f t="shared" ref="R226" si="575">SUM(N224-N225)</f>
        <v>0</v>
      </c>
      <c r="S226" s="7">
        <f t="shared" ref="S226" si="576">SUM(O224-O225)</f>
        <v>0</v>
      </c>
      <c r="T226" s="7">
        <f t="shared" ref="T226" si="577">SUM(P224-P225)</f>
        <v>0</v>
      </c>
      <c r="U226" s="7">
        <f t="shared" ref="U226" si="578">SUM(Q224-Q225)</f>
        <v>0</v>
      </c>
      <c r="V226" s="7">
        <f t="shared" ref="V226" si="579">SUM(R224-R225)</f>
        <v>0</v>
      </c>
      <c r="W226" s="7">
        <f t="shared" ref="W226" si="580">SUM(S224-S225)</f>
        <v>0</v>
      </c>
      <c r="X226" s="7">
        <f t="shared" ref="X226" si="581">SUM(T224-T225)</f>
        <v>0</v>
      </c>
      <c r="Y226" s="7">
        <f t="shared" ref="Y226" si="582">SUM(U224-U225)</f>
        <v>0</v>
      </c>
      <c r="Z226" s="8">
        <f>SUM(B226:Y226)</f>
        <v>0</v>
      </c>
      <c r="AA226" s="18">
        <f>SUM(Z225:Z226)</f>
        <v>0</v>
      </c>
    </row>
    <row r="227" spans="1:27" ht="17.25" customHeight="1" thickBot="1">
      <c r="A227" s="29" t="s">
        <v>39</v>
      </c>
      <c r="B227" s="325">
        <f>SUM(B226+C226)</f>
        <v>0</v>
      </c>
      <c r="C227" s="316"/>
      <c r="D227" s="315">
        <f t="shared" ref="D227" si="583">SUM(D226+E226)</f>
        <v>0</v>
      </c>
      <c r="E227" s="316"/>
      <c r="F227" s="315">
        <f t="shared" ref="F227" si="584">SUM(F226+G226)</f>
        <v>0</v>
      </c>
      <c r="G227" s="316"/>
      <c r="H227" s="315">
        <f t="shared" ref="H227" si="585">SUM(H226+I226)</f>
        <v>0</v>
      </c>
      <c r="I227" s="316"/>
      <c r="J227" s="315">
        <f t="shared" ref="J227" si="586">SUM(J226+K226)</f>
        <v>0</v>
      </c>
      <c r="K227" s="316"/>
      <c r="L227" s="315">
        <f t="shared" ref="L227" si="587">SUM(L226+M226)</f>
        <v>0</v>
      </c>
      <c r="M227" s="316"/>
      <c r="N227" s="315">
        <f t="shared" ref="N227" si="588">SUM(N226+O226)</f>
        <v>0</v>
      </c>
      <c r="O227" s="316"/>
      <c r="P227" s="315">
        <f t="shared" ref="P227" si="589">SUM(P226+Q226)</f>
        <v>0</v>
      </c>
      <c r="Q227" s="316"/>
      <c r="R227" s="315">
        <f t="shared" ref="R227" si="590">SUM(R226+S226)</f>
        <v>0</v>
      </c>
      <c r="S227" s="316"/>
      <c r="T227" s="315">
        <f t="shared" ref="T227" si="591">SUM(T226+U226)</f>
        <v>0</v>
      </c>
      <c r="U227" s="316"/>
      <c r="V227" s="315">
        <f t="shared" ref="V227" si="592">SUM(V226+W226)</f>
        <v>0</v>
      </c>
      <c r="W227" s="316"/>
      <c r="X227" s="315">
        <f t="shared" ref="X227" si="593">SUM(X226+Y226)</f>
        <v>0</v>
      </c>
      <c r="Y227" s="316"/>
      <c r="Z227" s="78"/>
      <c r="AA227" s="79"/>
    </row>
    <row r="228" spans="1:27" ht="18" customHeight="1" thickBot="1">
      <c r="A228" s="326" t="s">
        <v>96</v>
      </c>
      <c r="B228" s="317" t="s">
        <v>38</v>
      </c>
      <c r="C228" s="318"/>
      <c r="D228" s="317" t="s">
        <v>38</v>
      </c>
      <c r="E228" s="318"/>
      <c r="F228" s="317" t="s">
        <v>38</v>
      </c>
      <c r="G228" s="318"/>
      <c r="H228" s="317" t="s">
        <v>38</v>
      </c>
      <c r="I228" s="318"/>
      <c r="J228" s="317" t="s">
        <v>38</v>
      </c>
      <c r="K228" s="318"/>
      <c r="L228" s="317" t="s">
        <v>38</v>
      </c>
      <c r="M228" s="318"/>
      <c r="N228" s="317" t="s">
        <v>38</v>
      </c>
      <c r="O228" s="318"/>
      <c r="P228" s="317" t="s">
        <v>38</v>
      </c>
      <c r="Q228" s="318"/>
      <c r="R228" s="317" t="s">
        <v>38</v>
      </c>
      <c r="S228" s="318"/>
      <c r="T228" s="317" t="s">
        <v>38</v>
      </c>
      <c r="U228" s="318"/>
      <c r="V228" s="317" t="s">
        <v>38</v>
      </c>
      <c r="W228" s="318"/>
      <c r="X228" s="317" t="s">
        <v>38</v>
      </c>
      <c r="Y228" s="318"/>
      <c r="Z228" s="54" t="s">
        <v>11</v>
      </c>
      <c r="AA228" s="52" t="s">
        <v>13</v>
      </c>
    </row>
    <row r="229" spans="1:27" ht="18" customHeight="1" thickBot="1">
      <c r="A229" s="327"/>
      <c r="B229" s="56" t="s">
        <v>2</v>
      </c>
      <c r="C229" s="57" t="s">
        <v>3</v>
      </c>
      <c r="D229" s="58" t="s">
        <v>2</v>
      </c>
      <c r="E229" s="59" t="s">
        <v>3</v>
      </c>
      <c r="F229" s="56" t="s">
        <v>2</v>
      </c>
      <c r="G229" s="57" t="s">
        <v>3</v>
      </c>
      <c r="H229" s="58" t="s">
        <v>2</v>
      </c>
      <c r="I229" s="59" t="s">
        <v>3</v>
      </c>
      <c r="J229" s="56" t="s">
        <v>2</v>
      </c>
      <c r="K229" s="57" t="s">
        <v>3</v>
      </c>
      <c r="L229" s="58" t="s">
        <v>2</v>
      </c>
      <c r="M229" s="59" t="s">
        <v>3</v>
      </c>
      <c r="N229" s="56" t="s">
        <v>2</v>
      </c>
      <c r="O229" s="57" t="s">
        <v>3</v>
      </c>
      <c r="P229" s="58" t="s">
        <v>2</v>
      </c>
      <c r="Q229" s="59" t="s">
        <v>3</v>
      </c>
      <c r="R229" s="56" t="s">
        <v>2</v>
      </c>
      <c r="S229" s="57" t="s">
        <v>3</v>
      </c>
      <c r="T229" s="58" t="s">
        <v>2</v>
      </c>
      <c r="U229" s="59" t="s">
        <v>3</v>
      </c>
      <c r="V229" s="58" t="s">
        <v>2</v>
      </c>
      <c r="W229" s="59" t="s">
        <v>3</v>
      </c>
      <c r="X229" s="58" t="s">
        <v>2</v>
      </c>
      <c r="Y229" s="59" t="s">
        <v>3</v>
      </c>
      <c r="Z229" s="53"/>
      <c r="AA229" s="51"/>
    </row>
    <row r="230" spans="1:27" ht="18" customHeight="1">
      <c r="A230" s="75" t="s">
        <v>4</v>
      </c>
      <c r="B230" s="65"/>
      <c r="C230" s="65"/>
      <c r="D230" s="64"/>
      <c r="E230" s="65"/>
      <c r="F230" s="64"/>
      <c r="G230" s="65"/>
      <c r="H230" s="64"/>
      <c r="I230" s="65"/>
      <c r="J230" s="64"/>
      <c r="K230" s="65"/>
      <c r="L230" s="64"/>
      <c r="M230" s="65"/>
      <c r="N230" s="64"/>
      <c r="O230" s="65"/>
      <c r="P230" s="64"/>
      <c r="Q230" s="65"/>
      <c r="R230" s="64"/>
      <c r="S230" s="65"/>
      <c r="T230" s="64"/>
      <c r="U230" s="65"/>
      <c r="V230" s="64"/>
      <c r="W230" s="65"/>
      <c r="X230" s="64"/>
      <c r="Y230" s="65"/>
      <c r="Z230" s="7">
        <f>SUM(B230:Y230)</f>
        <v>0</v>
      </c>
      <c r="AA230" s="10"/>
    </row>
    <row r="231" spans="1:27" ht="18" customHeight="1" thickBot="1">
      <c r="A231" s="76" t="s">
        <v>37</v>
      </c>
      <c r="B231" s="67"/>
      <c r="C231" s="67"/>
      <c r="D231" s="66"/>
      <c r="E231" s="67"/>
      <c r="F231" s="66"/>
      <c r="G231" s="67"/>
      <c r="H231" s="66"/>
      <c r="I231" s="67"/>
      <c r="J231" s="66"/>
      <c r="K231" s="67"/>
      <c r="L231" s="66"/>
      <c r="M231" s="67"/>
      <c r="N231" s="66"/>
      <c r="O231" s="67"/>
      <c r="P231" s="66"/>
      <c r="Q231" s="67"/>
      <c r="R231" s="66"/>
      <c r="S231" s="67"/>
      <c r="T231" s="66"/>
      <c r="U231" s="67"/>
      <c r="V231" s="66"/>
      <c r="W231" s="67"/>
      <c r="X231" s="66"/>
      <c r="Y231" s="67"/>
      <c r="Z231" s="11">
        <f>SUM(B231:Y231)</f>
        <v>0</v>
      </c>
      <c r="AA231" s="9">
        <f>SUM(Z230:Z231)</f>
        <v>0</v>
      </c>
    </row>
    <row r="232" spans="1:27" ht="18" customHeight="1">
      <c r="A232" s="77" t="s">
        <v>34</v>
      </c>
      <c r="B232" s="73"/>
      <c r="C232" s="64"/>
      <c r="D232" s="64"/>
      <c r="E232" s="65"/>
      <c r="F232" s="64"/>
      <c r="G232" s="65"/>
      <c r="H232" s="64"/>
      <c r="I232" s="65"/>
      <c r="J232" s="64"/>
      <c r="K232" s="65"/>
      <c r="L232" s="64"/>
      <c r="M232" s="65"/>
      <c r="N232" s="64"/>
      <c r="O232" s="65"/>
      <c r="P232" s="64"/>
      <c r="Q232" s="65"/>
      <c r="R232" s="64"/>
      <c r="S232" s="65"/>
      <c r="T232" s="64"/>
      <c r="U232" s="65"/>
      <c r="V232" s="64"/>
      <c r="W232" s="65"/>
      <c r="X232" s="64"/>
      <c r="Y232" s="65"/>
      <c r="Z232" s="13">
        <f>SUM(B232:Y232)</f>
        <v>0</v>
      </c>
      <c r="AA232" s="5"/>
    </row>
    <row r="233" spans="1:27" ht="18" customHeight="1" thickBot="1">
      <c r="A233" s="28" t="s">
        <v>0</v>
      </c>
      <c r="B233" s="74"/>
      <c r="C233" s="66"/>
      <c r="D233" s="66"/>
      <c r="E233" s="67"/>
      <c r="F233" s="66"/>
      <c r="G233" s="67"/>
      <c r="H233" s="66"/>
      <c r="I233" s="67"/>
      <c r="J233" s="66"/>
      <c r="K233" s="67"/>
      <c r="L233" s="66"/>
      <c r="M233" s="67"/>
      <c r="N233" s="66"/>
      <c r="O233" s="67"/>
      <c r="P233" s="66"/>
      <c r="Q233" s="67"/>
      <c r="R233" s="66"/>
      <c r="S233" s="67"/>
      <c r="T233" s="66"/>
      <c r="U233" s="67"/>
      <c r="V233" s="66"/>
      <c r="W233" s="67"/>
      <c r="X233" s="66"/>
      <c r="Y233" s="67"/>
      <c r="Z233" s="8">
        <f>SUM(B233:Y233)</f>
        <v>0</v>
      </c>
      <c r="AA233" s="18"/>
    </row>
    <row r="234" spans="1:27" ht="18" customHeight="1">
      <c r="A234" s="28" t="s">
        <v>35</v>
      </c>
      <c r="B234" s="7">
        <v>0</v>
      </c>
      <c r="C234" s="7">
        <v>0</v>
      </c>
      <c r="D234" s="7">
        <v>0</v>
      </c>
      <c r="E234" s="7">
        <v>0</v>
      </c>
      <c r="F234" s="7">
        <f>SUM(B232-B233)</f>
        <v>0</v>
      </c>
      <c r="G234" s="7">
        <f t="shared" ref="G234" si="594">SUM(C232-C233)</f>
        <v>0</v>
      </c>
      <c r="H234" s="7">
        <f t="shared" ref="H234" si="595">SUM(D232-D233)</f>
        <v>0</v>
      </c>
      <c r="I234" s="7">
        <f t="shared" ref="I234" si="596">SUM(E232-E233)</f>
        <v>0</v>
      </c>
      <c r="J234" s="7">
        <f t="shared" ref="J234" si="597">SUM(F232-F233)</f>
        <v>0</v>
      </c>
      <c r="K234" s="7">
        <f t="shared" ref="K234" si="598">SUM(G232-G233)</f>
        <v>0</v>
      </c>
      <c r="L234" s="7">
        <f t="shared" ref="L234" si="599">SUM(H232-H233)</f>
        <v>0</v>
      </c>
      <c r="M234" s="7">
        <f t="shared" ref="M234" si="600">SUM(I232-I233)</f>
        <v>0</v>
      </c>
      <c r="N234" s="7">
        <f t="shared" ref="N234" si="601">SUM(J232-J233)</f>
        <v>0</v>
      </c>
      <c r="O234" s="7">
        <f t="shared" ref="O234" si="602">SUM(K232-K233)</f>
        <v>0</v>
      </c>
      <c r="P234" s="7">
        <f t="shared" ref="P234" si="603">SUM(L232-L233)</f>
        <v>0</v>
      </c>
      <c r="Q234" s="7">
        <f t="shared" ref="Q234" si="604">SUM(M232-M233)</f>
        <v>0</v>
      </c>
      <c r="R234" s="7">
        <f t="shared" ref="R234" si="605">SUM(N232-N233)</f>
        <v>0</v>
      </c>
      <c r="S234" s="7">
        <f t="shared" ref="S234" si="606">SUM(O232-O233)</f>
        <v>0</v>
      </c>
      <c r="T234" s="7">
        <f t="shared" ref="T234" si="607">SUM(P232-P233)</f>
        <v>0</v>
      </c>
      <c r="U234" s="7">
        <f t="shared" ref="U234" si="608">SUM(Q232-Q233)</f>
        <v>0</v>
      </c>
      <c r="V234" s="7">
        <f t="shared" ref="V234" si="609">SUM(R232-R233)</f>
        <v>0</v>
      </c>
      <c r="W234" s="7">
        <f t="shared" ref="W234" si="610">SUM(S232-S233)</f>
        <v>0</v>
      </c>
      <c r="X234" s="7">
        <f t="shared" ref="X234" si="611">SUM(T232-T233)</f>
        <v>0</v>
      </c>
      <c r="Y234" s="7">
        <f t="shared" ref="Y234" si="612">SUM(U232-U233)</f>
        <v>0</v>
      </c>
      <c r="Z234" s="8">
        <f>SUM(B234:Y234)</f>
        <v>0</v>
      </c>
      <c r="AA234" s="18">
        <f>SUM(Z233:Z234)</f>
        <v>0</v>
      </c>
    </row>
    <row r="235" spans="1:27" ht="17.25" customHeight="1" thickBot="1">
      <c r="A235" s="29" t="s">
        <v>39</v>
      </c>
      <c r="B235" s="325">
        <f>SUM(B234+C234)</f>
        <v>0</v>
      </c>
      <c r="C235" s="316"/>
      <c r="D235" s="315">
        <f t="shared" ref="D235" si="613">SUM(D234+E234)</f>
        <v>0</v>
      </c>
      <c r="E235" s="316"/>
      <c r="F235" s="315">
        <f t="shared" ref="F235" si="614">SUM(F234+G234)</f>
        <v>0</v>
      </c>
      <c r="G235" s="316"/>
      <c r="H235" s="315">
        <f t="shared" ref="H235" si="615">SUM(H234+I234)</f>
        <v>0</v>
      </c>
      <c r="I235" s="316"/>
      <c r="J235" s="315">
        <f t="shared" ref="J235" si="616">SUM(J234+K234)</f>
        <v>0</v>
      </c>
      <c r="K235" s="316"/>
      <c r="L235" s="315">
        <f t="shared" ref="L235" si="617">SUM(L234+M234)</f>
        <v>0</v>
      </c>
      <c r="M235" s="316"/>
      <c r="N235" s="315">
        <f t="shared" ref="N235" si="618">SUM(N234+O234)</f>
        <v>0</v>
      </c>
      <c r="O235" s="316"/>
      <c r="P235" s="315">
        <f t="shared" ref="P235" si="619">SUM(P234+Q234)</f>
        <v>0</v>
      </c>
      <c r="Q235" s="316"/>
      <c r="R235" s="315">
        <f t="shared" ref="R235" si="620">SUM(R234+S234)</f>
        <v>0</v>
      </c>
      <c r="S235" s="316"/>
      <c r="T235" s="315">
        <f t="shared" ref="T235" si="621">SUM(T234+U234)</f>
        <v>0</v>
      </c>
      <c r="U235" s="316"/>
      <c r="V235" s="315">
        <f t="shared" ref="V235" si="622">SUM(V234+W234)</f>
        <v>0</v>
      </c>
      <c r="W235" s="316"/>
      <c r="X235" s="315">
        <f t="shared" ref="X235" si="623">SUM(X234+Y234)</f>
        <v>0</v>
      </c>
      <c r="Y235" s="316"/>
      <c r="Z235" s="78"/>
      <c r="AA235" s="79"/>
    </row>
    <row r="236" spans="1:27" ht="18" customHeight="1" thickBot="1">
      <c r="A236" s="326" t="s">
        <v>97</v>
      </c>
      <c r="B236" s="317" t="s">
        <v>38</v>
      </c>
      <c r="C236" s="318"/>
      <c r="D236" s="317" t="s">
        <v>38</v>
      </c>
      <c r="E236" s="318"/>
      <c r="F236" s="317" t="s">
        <v>38</v>
      </c>
      <c r="G236" s="318"/>
      <c r="H236" s="317" t="s">
        <v>38</v>
      </c>
      <c r="I236" s="318"/>
      <c r="J236" s="317" t="s">
        <v>38</v>
      </c>
      <c r="K236" s="318"/>
      <c r="L236" s="317" t="s">
        <v>38</v>
      </c>
      <c r="M236" s="318"/>
      <c r="N236" s="317" t="s">
        <v>38</v>
      </c>
      <c r="O236" s="318"/>
      <c r="P236" s="317" t="s">
        <v>38</v>
      </c>
      <c r="Q236" s="318"/>
      <c r="R236" s="317" t="s">
        <v>38</v>
      </c>
      <c r="S236" s="318"/>
      <c r="T236" s="317" t="s">
        <v>38</v>
      </c>
      <c r="U236" s="318"/>
      <c r="V236" s="317" t="s">
        <v>38</v>
      </c>
      <c r="W236" s="318"/>
      <c r="X236" s="317" t="s">
        <v>38</v>
      </c>
      <c r="Y236" s="318"/>
      <c r="Z236" s="54" t="s">
        <v>11</v>
      </c>
      <c r="AA236" s="52" t="s">
        <v>13</v>
      </c>
    </row>
    <row r="237" spans="1:27" ht="18" customHeight="1" thickBot="1">
      <c r="A237" s="327"/>
      <c r="B237" s="56" t="s">
        <v>2</v>
      </c>
      <c r="C237" s="57" t="s">
        <v>3</v>
      </c>
      <c r="D237" s="58" t="s">
        <v>2</v>
      </c>
      <c r="E237" s="59" t="s">
        <v>3</v>
      </c>
      <c r="F237" s="56" t="s">
        <v>2</v>
      </c>
      <c r="G237" s="57" t="s">
        <v>3</v>
      </c>
      <c r="H237" s="58" t="s">
        <v>2</v>
      </c>
      <c r="I237" s="59" t="s">
        <v>3</v>
      </c>
      <c r="J237" s="56" t="s">
        <v>2</v>
      </c>
      <c r="K237" s="57" t="s">
        <v>3</v>
      </c>
      <c r="L237" s="58" t="s">
        <v>2</v>
      </c>
      <c r="M237" s="59" t="s">
        <v>3</v>
      </c>
      <c r="N237" s="56" t="s">
        <v>2</v>
      </c>
      <c r="O237" s="57" t="s">
        <v>3</v>
      </c>
      <c r="P237" s="58" t="s">
        <v>2</v>
      </c>
      <c r="Q237" s="59" t="s">
        <v>3</v>
      </c>
      <c r="R237" s="56" t="s">
        <v>2</v>
      </c>
      <c r="S237" s="57" t="s">
        <v>3</v>
      </c>
      <c r="T237" s="58" t="s">
        <v>2</v>
      </c>
      <c r="U237" s="59" t="s">
        <v>3</v>
      </c>
      <c r="V237" s="58" t="s">
        <v>2</v>
      </c>
      <c r="W237" s="59" t="s">
        <v>3</v>
      </c>
      <c r="X237" s="58" t="s">
        <v>2</v>
      </c>
      <c r="Y237" s="59" t="s">
        <v>3</v>
      </c>
      <c r="Z237" s="53"/>
      <c r="AA237" s="51"/>
    </row>
    <row r="238" spans="1:27" ht="18" customHeight="1">
      <c r="A238" s="75" t="s">
        <v>4</v>
      </c>
      <c r="B238" s="65"/>
      <c r="C238" s="65"/>
      <c r="D238" s="64"/>
      <c r="E238" s="65"/>
      <c r="F238" s="64"/>
      <c r="G238" s="65"/>
      <c r="H238" s="64"/>
      <c r="I238" s="65"/>
      <c r="J238" s="64"/>
      <c r="K238" s="65"/>
      <c r="L238" s="64"/>
      <c r="M238" s="65"/>
      <c r="N238" s="64"/>
      <c r="O238" s="65"/>
      <c r="P238" s="64"/>
      <c r="Q238" s="65"/>
      <c r="R238" s="64"/>
      <c r="S238" s="65"/>
      <c r="T238" s="64"/>
      <c r="U238" s="65"/>
      <c r="V238" s="64"/>
      <c r="W238" s="65"/>
      <c r="X238" s="64"/>
      <c r="Y238" s="65"/>
      <c r="Z238" s="7">
        <f>SUM(B238:Y238)</f>
        <v>0</v>
      </c>
      <c r="AA238" s="10"/>
    </row>
    <row r="239" spans="1:27" ht="18" customHeight="1" thickBot="1">
      <c r="A239" s="76" t="s">
        <v>37</v>
      </c>
      <c r="B239" s="67"/>
      <c r="C239" s="67"/>
      <c r="D239" s="66"/>
      <c r="E239" s="67"/>
      <c r="F239" s="66"/>
      <c r="G239" s="67"/>
      <c r="H239" s="66"/>
      <c r="I239" s="67"/>
      <c r="J239" s="66"/>
      <c r="K239" s="67"/>
      <c r="L239" s="66"/>
      <c r="M239" s="67"/>
      <c r="N239" s="66"/>
      <c r="O239" s="67"/>
      <c r="P239" s="66"/>
      <c r="Q239" s="67"/>
      <c r="R239" s="66"/>
      <c r="S239" s="67"/>
      <c r="T239" s="66"/>
      <c r="U239" s="67"/>
      <c r="V239" s="66"/>
      <c r="W239" s="67"/>
      <c r="X239" s="66"/>
      <c r="Y239" s="67"/>
      <c r="Z239" s="11">
        <f>SUM(B239:Y239)</f>
        <v>0</v>
      </c>
      <c r="AA239" s="9">
        <f>SUM(Z238:Z239)</f>
        <v>0</v>
      </c>
    </row>
    <row r="240" spans="1:27" ht="18" customHeight="1">
      <c r="A240" s="77" t="s">
        <v>34</v>
      </c>
      <c r="B240" s="73"/>
      <c r="C240" s="64"/>
      <c r="D240" s="64"/>
      <c r="E240" s="65"/>
      <c r="F240" s="64"/>
      <c r="G240" s="65"/>
      <c r="H240" s="64"/>
      <c r="I240" s="65"/>
      <c r="J240" s="64"/>
      <c r="K240" s="65"/>
      <c r="L240" s="64"/>
      <c r="M240" s="65"/>
      <c r="N240" s="64"/>
      <c r="O240" s="65"/>
      <c r="P240" s="64"/>
      <c r="Q240" s="65"/>
      <c r="R240" s="64"/>
      <c r="S240" s="65"/>
      <c r="T240" s="64"/>
      <c r="U240" s="65"/>
      <c r="V240" s="64"/>
      <c r="W240" s="65"/>
      <c r="X240" s="64"/>
      <c r="Y240" s="65"/>
      <c r="Z240" s="13">
        <f>SUM(B240:Y240)</f>
        <v>0</v>
      </c>
      <c r="AA240" s="5"/>
    </row>
    <row r="241" spans="1:27" ht="18" customHeight="1" thickBot="1">
      <c r="A241" s="28" t="s">
        <v>0</v>
      </c>
      <c r="B241" s="74"/>
      <c r="C241" s="66"/>
      <c r="D241" s="66"/>
      <c r="E241" s="67"/>
      <c r="F241" s="66"/>
      <c r="G241" s="67"/>
      <c r="H241" s="66"/>
      <c r="I241" s="67"/>
      <c r="J241" s="66"/>
      <c r="K241" s="67"/>
      <c r="L241" s="66"/>
      <c r="M241" s="67"/>
      <c r="N241" s="66"/>
      <c r="O241" s="67"/>
      <c r="P241" s="66"/>
      <c r="Q241" s="67"/>
      <c r="R241" s="66"/>
      <c r="S241" s="67"/>
      <c r="T241" s="66"/>
      <c r="U241" s="67"/>
      <c r="V241" s="66"/>
      <c r="W241" s="67"/>
      <c r="X241" s="66"/>
      <c r="Y241" s="67"/>
      <c r="Z241" s="8">
        <f>SUM(B241:Y241)</f>
        <v>0</v>
      </c>
      <c r="AA241" s="18"/>
    </row>
    <row r="242" spans="1:27" ht="18" customHeight="1">
      <c r="A242" s="28" t="s">
        <v>35</v>
      </c>
      <c r="B242" s="7">
        <v>0</v>
      </c>
      <c r="C242" s="7">
        <v>0</v>
      </c>
      <c r="D242" s="7">
        <v>0</v>
      </c>
      <c r="E242" s="7">
        <v>0</v>
      </c>
      <c r="F242" s="7">
        <f>SUM(B240-B241)</f>
        <v>0</v>
      </c>
      <c r="G242" s="7">
        <f t="shared" ref="G242" si="624">SUM(C240-C241)</f>
        <v>0</v>
      </c>
      <c r="H242" s="7">
        <f t="shared" ref="H242" si="625">SUM(D240-D241)</f>
        <v>0</v>
      </c>
      <c r="I242" s="7">
        <f t="shared" ref="I242" si="626">SUM(E240-E241)</f>
        <v>0</v>
      </c>
      <c r="J242" s="7">
        <f t="shared" ref="J242" si="627">SUM(F240-F241)</f>
        <v>0</v>
      </c>
      <c r="K242" s="7">
        <f t="shared" ref="K242" si="628">SUM(G240-G241)</f>
        <v>0</v>
      </c>
      <c r="L242" s="7">
        <f t="shared" ref="L242" si="629">SUM(H240-H241)</f>
        <v>0</v>
      </c>
      <c r="M242" s="7">
        <f t="shared" ref="M242" si="630">SUM(I240-I241)</f>
        <v>0</v>
      </c>
      <c r="N242" s="7">
        <f t="shared" ref="N242" si="631">SUM(J240-J241)</f>
        <v>0</v>
      </c>
      <c r="O242" s="7">
        <f t="shared" ref="O242" si="632">SUM(K240-K241)</f>
        <v>0</v>
      </c>
      <c r="P242" s="7">
        <f t="shared" ref="P242" si="633">SUM(L240-L241)</f>
        <v>0</v>
      </c>
      <c r="Q242" s="7">
        <f t="shared" ref="Q242" si="634">SUM(M240-M241)</f>
        <v>0</v>
      </c>
      <c r="R242" s="7">
        <f t="shared" ref="R242" si="635">SUM(N240-N241)</f>
        <v>0</v>
      </c>
      <c r="S242" s="7">
        <f t="shared" ref="S242" si="636">SUM(O240-O241)</f>
        <v>0</v>
      </c>
      <c r="T242" s="7">
        <f t="shared" ref="T242" si="637">SUM(P240-P241)</f>
        <v>0</v>
      </c>
      <c r="U242" s="7">
        <f t="shared" ref="U242" si="638">SUM(Q240-Q241)</f>
        <v>0</v>
      </c>
      <c r="V242" s="7">
        <f t="shared" ref="V242" si="639">SUM(R240-R241)</f>
        <v>0</v>
      </c>
      <c r="W242" s="7">
        <f t="shared" ref="W242" si="640">SUM(S240-S241)</f>
        <v>0</v>
      </c>
      <c r="X242" s="7">
        <f t="shared" ref="X242" si="641">SUM(T240-T241)</f>
        <v>0</v>
      </c>
      <c r="Y242" s="7">
        <f t="shared" ref="Y242" si="642">SUM(U240-U241)</f>
        <v>0</v>
      </c>
      <c r="Z242" s="8">
        <f>SUM(B242:Y242)</f>
        <v>0</v>
      </c>
      <c r="AA242" s="18">
        <f>SUM(Z241:Z242)</f>
        <v>0</v>
      </c>
    </row>
    <row r="243" spans="1:27" ht="17.25" customHeight="1" thickBot="1">
      <c r="A243" s="29" t="s">
        <v>39</v>
      </c>
      <c r="B243" s="325">
        <f>SUM(B242+C242)</f>
        <v>0</v>
      </c>
      <c r="C243" s="316"/>
      <c r="D243" s="315">
        <f t="shared" ref="D243" si="643">SUM(D242+E242)</f>
        <v>0</v>
      </c>
      <c r="E243" s="316"/>
      <c r="F243" s="315">
        <f t="shared" ref="F243" si="644">SUM(F242+G242)</f>
        <v>0</v>
      </c>
      <c r="G243" s="316"/>
      <c r="H243" s="315">
        <f t="shared" ref="H243" si="645">SUM(H242+I242)</f>
        <v>0</v>
      </c>
      <c r="I243" s="316"/>
      <c r="J243" s="315">
        <f t="shared" ref="J243" si="646">SUM(J242+K242)</f>
        <v>0</v>
      </c>
      <c r="K243" s="316"/>
      <c r="L243" s="315">
        <f t="shared" ref="L243" si="647">SUM(L242+M242)</f>
        <v>0</v>
      </c>
      <c r="M243" s="316"/>
      <c r="N243" s="315">
        <f t="shared" ref="N243" si="648">SUM(N242+O242)</f>
        <v>0</v>
      </c>
      <c r="O243" s="316"/>
      <c r="P243" s="315">
        <f t="shared" ref="P243" si="649">SUM(P242+Q242)</f>
        <v>0</v>
      </c>
      <c r="Q243" s="316"/>
      <c r="R243" s="315">
        <f t="shared" ref="R243" si="650">SUM(R242+S242)</f>
        <v>0</v>
      </c>
      <c r="S243" s="316"/>
      <c r="T243" s="315">
        <f t="shared" ref="T243" si="651">SUM(T242+U242)</f>
        <v>0</v>
      </c>
      <c r="U243" s="316"/>
      <c r="V243" s="315">
        <f t="shared" ref="V243" si="652">SUM(V242+W242)</f>
        <v>0</v>
      </c>
      <c r="W243" s="316"/>
      <c r="X243" s="315">
        <f t="shared" ref="X243" si="653">SUM(X242+Y242)</f>
        <v>0</v>
      </c>
      <c r="Y243" s="316"/>
      <c r="Z243" s="78"/>
      <c r="AA243" s="79"/>
    </row>
    <row r="244" spans="1:27" ht="18" customHeight="1" thickBot="1">
      <c r="A244" s="326" t="s">
        <v>98</v>
      </c>
      <c r="B244" s="317" t="s">
        <v>38</v>
      </c>
      <c r="C244" s="318"/>
      <c r="D244" s="317" t="s">
        <v>38</v>
      </c>
      <c r="E244" s="318"/>
      <c r="F244" s="317" t="s">
        <v>38</v>
      </c>
      <c r="G244" s="318"/>
      <c r="H244" s="317" t="s">
        <v>38</v>
      </c>
      <c r="I244" s="318"/>
      <c r="J244" s="317" t="s">
        <v>38</v>
      </c>
      <c r="K244" s="318"/>
      <c r="L244" s="317" t="s">
        <v>38</v>
      </c>
      <c r="M244" s="318"/>
      <c r="N244" s="317" t="s">
        <v>38</v>
      </c>
      <c r="O244" s="318"/>
      <c r="P244" s="317" t="s">
        <v>38</v>
      </c>
      <c r="Q244" s="318"/>
      <c r="R244" s="317" t="s">
        <v>38</v>
      </c>
      <c r="S244" s="318"/>
      <c r="T244" s="317" t="s">
        <v>38</v>
      </c>
      <c r="U244" s="318"/>
      <c r="V244" s="317" t="s">
        <v>38</v>
      </c>
      <c r="W244" s="318"/>
      <c r="X244" s="317" t="s">
        <v>38</v>
      </c>
      <c r="Y244" s="318"/>
      <c r="Z244" s="54" t="s">
        <v>11</v>
      </c>
      <c r="AA244" s="52" t="s">
        <v>13</v>
      </c>
    </row>
    <row r="245" spans="1:27" ht="18" customHeight="1" thickBot="1">
      <c r="A245" s="327"/>
      <c r="B245" s="56" t="s">
        <v>2</v>
      </c>
      <c r="C245" s="57" t="s">
        <v>3</v>
      </c>
      <c r="D245" s="58" t="s">
        <v>2</v>
      </c>
      <c r="E245" s="59" t="s">
        <v>3</v>
      </c>
      <c r="F245" s="56" t="s">
        <v>2</v>
      </c>
      <c r="G245" s="57" t="s">
        <v>3</v>
      </c>
      <c r="H245" s="58" t="s">
        <v>2</v>
      </c>
      <c r="I245" s="59" t="s">
        <v>3</v>
      </c>
      <c r="J245" s="56" t="s">
        <v>2</v>
      </c>
      <c r="K245" s="57" t="s">
        <v>3</v>
      </c>
      <c r="L245" s="58" t="s">
        <v>2</v>
      </c>
      <c r="M245" s="59" t="s">
        <v>3</v>
      </c>
      <c r="N245" s="56" t="s">
        <v>2</v>
      </c>
      <c r="O245" s="57" t="s">
        <v>3</v>
      </c>
      <c r="P245" s="58" t="s">
        <v>2</v>
      </c>
      <c r="Q245" s="59" t="s">
        <v>3</v>
      </c>
      <c r="R245" s="56" t="s">
        <v>2</v>
      </c>
      <c r="S245" s="57" t="s">
        <v>3</v>
      </c>
      <c r="T245" s="58" t="s">
        <v>2</v>
      </c>
      <c r="U245" s="59" t="s">
        <v>3</v>
      </c>
      <c r="V245" s="58" t="s">
        <v>2</v>
      </c>
      <c r="W245" s="59" t="s">
        <v>3</v>
      </c>
      <c r="X245" s="58" t="s">
        <v>2</v>
      </c>
      <c r="Y245" s="59" t="s">
        <v>3</v>
      </c>
      <c r="Z245" s="53"/>
      <c r="AA245" s="51"/>
    </row>
    <row r="246" spans="1:27" ht="18" customHeight="1">
      <c r="A246" s="75" t="s">
        <v>4</v>
      </c>
      <c r="B246" s="65"/>
      <c r="C246" s="65"/>
      <c r="D246" s="64"/>
      <c r="E246" s="65"/>
      <c r="F246" s="64"/>
      <c r="G246" s="65"/>
      <c r="H246" s="64"/>
      <c r="I246" s="65"/>
      <c r="J246" s="64"/>
      <c r="K246" s="65"/>
      <c r="L246" s="64"/>
      <c r="M246" s="65"/>
      <c r="N246" s="64"/>
      <c r="O246" s="65"/>
      <c r="P246" s="64"/>
      <c r="Q246" s="65"/>
      <c r="R246" s="64"/>
      <c r="S246" s="65"/>
      <c r="T246" s="64"/>
      <c r="U246" s="65"/>
      <c r="V246" s="64"/>
      <c r="W246" s="65"/>
      <c r="X246" s="64"/>
      <c r="Y246" s="65"/>
      <c r="Z246" s="7">
        <f>SUM(B246:Y246)</f>
        <v>0</v>
      </c>
      <c r="AA246" s="10"/>
    </row>
    <row r="247" spans="1:27" ht="18" customHeight="1" thickBot="1">
      <c r="A247" s="76" t="s">
        <v>37</v>
      </c>
      <c r="B247" s="67"/>
      <c r="C247" s="67"/>
      <c r="D247" s="66"/>
      <c r="E247" s="67"/>
      <c r="F247" s="66"/>
      <c r="G247" s="67"/>
      <c r="H247" s="66"/>
      <c r="I247" s="67"/>
      <c r="J247" s="66"/>
      <c r="K247" s="67"/>
      <c r="L247" s="66"/>
      <c r="M247" s="67"/>
      <c r="N247" s="66"/>
      <c r="O247" s="67"/>
      <c r="P247" s="66"/>
      <c r="Q247" s="67"/>
      <c r="R247" s="66"/>
      <c r="S247" s="67"/>
      <c r="T247" s="66"/>
      <c r="U247" s="67"/>
      <c r="V247" s="66"/>
      <c r="W247" s="67"/>
      <c r="X247" s="66"/>
      <c r="Y247" s="67"/>
      <c r="Z247" s="11">
        <f>SUM(B247:Y247)</f>
        <v>0</v>
      </c>
      <c r="AA247" s="9">
        <f>SUM(Z246:Z247)</f>
        <v>0</v>
      </c>
    </row>
    <row r="248" spans="1:27" ht="18" customHeight="1">
      <c r="A248" s="77" t="s">
        <v>34</v>
      </c>
      <c r="B248" s="73"/>
      <c r="C248" s="64"/>
      <c r="D248" s="64"/>
      <c r="E248" s="65"/>
      <c r="F248" s="64"/>
      <c r="G248" s="65"/>
      <c r="H248" s="64"/>
      <c r="I248" s="65"/>
      <c r="J248" s="64"/>
      <c r="K248" s="65"/>
      <c r="L248" s="64"/>
      <c r="M248" s="65"/>
      <c r="N248" s="64"/>
      <c r="O248" s="65"/>
      <c r="P248" s="64"/>
      <c r="Q248" s="65"/>
      <c r="R248" s="64"/>
      <c r="S248" s="65"/>
      <c r="T248" s="64"/>
      <c r="U248" s="65"/>
      <c r="V248" s="64"/>
      <c r="W248" s="65"/>
      <c r="X248" s="64"/>
      <c r="Y248" s="65"/>
      <c r="Z248" s="13">
        <f>SUM(B248:Y248)</f>
        <v>0</v>
      </c>
      <c r="AA248" s="5"/>
    </row>
    <row r="249" spans="1:27" ht="18" customHeight="1" thickBot="1">
      <c r="A249" s="28" t="s">
        <v>0</v>
      </c>
      <c r="B249" s="74"/>
      <c r="C249" s="66"/>
      <c r="D249" s="66"/>
      <c r="E249" s="67"/>
      <c r="F249" s="66"/>
      <c r="G249" s="67"/>
      <c r="H249" s="66"/>
      <c r="I249" s="67"/>
      <c r="J249" s="66"/>
      <c r="K249" s="67"/>
      <c r="L249" s="66"/>
      <c r="M249" s="67"/>
      <c r="N249" s="66"/>
      <c r="O249" s="67"/>
      <c r="P249" s="66"/>
      <c r="Q249" s="67"/>
      <c r="R249" s="66"/>
      <c r="S249" s="67"/>
      <c r="T249" s="66"/>
      <c r="U249" s="67"/>
      <c r="V249" s="66"/>
      <c r="W249" s="67"/>
      <c r="X249" s="66"/>
      <c r="Y249" s="67"/>
      <c r="Z249" s="8">
        <f>SUM(B249:Y249)</f>
        <v>0</v>
      </c>
      <c r="AA249" s="18"/>
    </row>
    <row r="250" spans="1:27" ht="18" customHeight="1">
      <c r="A250" s="28" t="s">
        <v>35</v>
      </c>
      <c r="B250" s="7">
        <v>0</v>
      </c>
      <c r="C250" s="7">
        <v>0</v>
      </c>
      <c r="D250" s="7">
        <v>0</v>
      </c>
      <c r="E250" s="7">
        <v>0</v>
      </c>
      <c r="F250" s="7">
        <f>SUM(B248-B249)</f>
        <v>0</v>
      </c>
      <c r="G250" s="7">
        <f t="shared" ref="G250" si="654">SUM(C248-C249)</f>
        <v>0</v>
      </c>
      <c r="H250" s="7">
        <f t="shared" ref="H250" si="655">SUM(D248-D249)</f>
        <v>0</v>
      </c>
      <c r="I250" s="7">
        <f t="shared" ref="I250" si="656">SUM(E248-E249)</f>
        <v>0</v>
      </c>
      <c r="J250" s="7">
        <f t="shared" ref="J250" si="657">SUM(F248-F249)</f>
        <v>0</v>
      </c>
      <c r="K250" s="7">
        <f t="shared" ref="K250" si="658">SUM(G248-G249)</f>
        <v>0</v>
      </c>
      <c r="L250" s="7">
        <f t="shared" ref="L250" si="659">SUM(H248-H249)</f>
        <v>0</v>
      </c>
      <c r="M250" s="7">
        <f t="shared" ref="M250" si="660">SUM(I248-I249)</f>
        <v>0</v>
      </c>
      <c r="N250" s="7">
        <f t="shared" ref="N250" si="661">SUM(J248-J249)</f>
        <v>0</v>
      </c>
      <c r="O250" s="7">
        <f t="shared" ref="O250" si="662">SUM(K248-K249)</f>
        <v>0</v>
      </c>
      <c r="P250" s="7">
        <f t="shared" ref="P250" si="663">SUM(L248-L249)</f>
        <v>0</v>
      </c>
      <c r="Q250" s="7">
        <f t="shared" ref="Q250" si="664">SUM(M248-M249)</f>
        <v>0</v>
      </c>
      <c r="R250" s="7">
        <f t="shared" ref="R250" si="665">SUM(N248-N249)</f>
        <v>0</v>
      </c>
      <c r="S250" s="7">
        <f t="shared" ref="S250" si="666">SUM(O248-O249)</f>
        <v>0</v>
      </c>
      <c r="T250" s="7">
        <f t="shared" ref="T250" si="667">SUM(P248-P249)</f>
        <v>0</v>
      </c>
      <c r="U250" s="7">
        <f t="shared" ref="U250" si="668">SUM(Q248-Q249)</f>
        <v>0</v>
      </c>
      <c r="V250" s="7">
        <f t="shared" ref="V250" si="669">SUM(R248-R249)</f>
        <v>0</v>
      </c>
      <c r="W250" s="7">
        <f t="shared" ref="W250" si="670">SUM(S248-S249)</f>
        <v>0</v>
      </c>
      <c r="X250" s="7">
        <f t="shared" ref="X250" si="671">SUM(T248-T249)</f>
        <v>0</v>
      </c>
      <c r="Y250" s="7">
        <f t="shared" ref="Y250" si="672">SUM(U248-U249)</f>
        <v>0</v>
      </c>
      <c r="Z250" s="8">
        <f>SUM(B250:Y250)</f>
        <v>0</v>
      </c>
      <c r="AA250" s="18">
        <f>SUM(Z249:Z250)</f>
        <v>0</v>
      </c>
    </row>
    <row r="251" spans="1:27" ht="17.25" customHeight="1" thickBot="1">
      <c r="A251" s="29" t="s">
        <v>39</v>
      </c>
      <c r="B251" s="325">
        <f>SUM(B250+C250)</f>
        <v>0</v>
      </c>
      <c r="C251" s="316"/>
      <c r="D251" s="315">
        <f t="shared" ref="D251" si="673">SUM(D250+E250)</f>
        <v>0</v>
      </c>
      <c r="E251" s="316"/>
      <c r="F251" s="315">
        <f t="shared" ref="F251" si="674">SUM(F250+G250)</f>
        <v>0</v>
      </c>
      <c r="G251" s="316"/>
      <c r="H251" s="315">
        <f t="shared" ref="H251" si="675">SUM(H250+I250)</f>
        <v>0</v>
      </c>
      <c r="I251" s="316"/>
      <c r="J251" s="315">
        <f t="shared" ref="J251" si="676">SUM(J250+K250)</f>
        <v>0</v>
      </c>
      <c r="K251" s="316"/>
      <c r="L251" s="315">
        <f t="shared" ref="L251" si="677">SUM(L250+M250)</f>
        <v>0</v>
      </c>
      <c r="M251" s="316"/>
      <c r="N251" s="315">
        <f t="shared" ref="N251" si="678">SUM(N250+O250)</f>
        <v>0</v>
      </c>
      <c r="O251" s="316"/>
      <c r="P251" s="315">
        <f t="shared" ref="P251" si="679">SUM(P250+Q250)</f>
        <v>0</v>
      </c>
      <c r="Q251" s="316"/>
      <c r="R251" s="315">
        <f t="shared" ref="R251" si="680">SUM(R250+S250)</f>
        <v>0</v>
      </c>
      <c r="S251" s="316"/>
      <c r="T251" s="315">
        <f t="shared" ref="T251" si="681">SUM(T250+U250)</f>
        <v>0</v>
      </c>
      <c r="U251" s="316"/>
      <c r="V251" s="315">
        <f t="shared" ref="V251" si="682">SUM(V250+W250)</f>
        <v>0</v>
      </c>
      <c r="W251" s="316"/>
      <c r="X251" s="315">
        <f t="shared" ref="X251" si="683">SUM(X250+Y250)</f>
        <v>0</v>
      </c>
      <c r="Y251" s="316"/>
      <c r="Z251" s="78"/>
      <c r="AA251" s="79"/>
    </row>
    <row r="252" spans="1:27" ht="18" customHeight="1" thickBot="1">
      <c r="A252" s="326" t="s">
        <v>99</v>
      </c>
      <c r="B252" s="317" t="s">
        <v>38</v>
      </c>
      <c r="C252" s="318"/>
      <c r="D252" s="317" t="s">
        <v>38</v>
      </c>
      <c r="E252" s="318"/>
      <c r="F252" s="317" t="s">
        <v>38</v>
      </c>
      <c r="G252" s="318"/>
      <c r="H252" s="317" t="s">
        <v>38</v>
      </c>
      <c r="I252" s="318"/>
      <c r="J252" s="317" t="s">
        <v>38</v>
      </c>
      <c r="K252" s="318"/>
      <c r="L252" s="317" t="s">
        <v>38</v>
      </c>
      <c r="M252" s="318"/>
      <c r="N252" s="317" t="s">
        <v>38</v>
      </c>
      <c r="O252" s="318"/>
      <c r="P252" s="317" t="s">
        <v>38</v>
      </c>
      <c r="Q252" s="318"/>
      <c r="R252" s="317" t="s">
        <v>38</v>
      </c>
      <c r="S252" s="318"/>
      <c r="T252" s="317" t="s">
        <v>38</v>
      </c>
      <c r="U252" s="318"/>
      <c r="V252" s="317" t="s">
        <v>38</v>
      </c>
      <c r="W252" s="318"/>
      <c r="X252" s="317" t="s">
        <v>38</v>
      </c>
      <c r="Y252" s="318"/>
      <c r="Z252" s="54" t="s">
        <v>11</v>
      </c>
      <c r="AA252" s="52" t="s">
        <v>13</v>
      </c>
    </row>
    <row r="253" spans="1:27" ht="18" customHeight="1" thickBot="1">
      <c r="A253" s="327"/>
      <c r="B253" s="56" t="s">
        <v>2</v>
      </c>
      <c r="C253" s="57" t="s">
        <v>3</v>
      </c>
      <c r="D253" s="58" t="s">
        <v>2</v>
      </c>
      <c r="E253" s="59" t="s">
        <v>3</v>
      </c>
      <c r="F253" s="56" t="s">
        <v>2</v>
      </c>
      <c r="G253" s="57" t="s">
        <v>3</v>
      </c>
      <c r="H253" s="58" t="s">
        <v>2</v>
      </c>
      <c r="I253" s="59" t="s">
        <v>3</v>
      </c>
      <c r="J253" s="56" t="s">
        <v>2</v>
      </c>
      <c r="K253" s="57" t="s">
        <v>3</v>
      </c>
      <c r="L253" s="58" t="s">
        <v>2</v>
      </c>
      <c r="M253" s="59" t="s">
        <v>3</v>
      </c>
      <c r="N253" s="56" t="s">
        <v>2</v>
      </c>
      <c r="O253" s="57" t="s">
        <v>3</v>
      </c>
      <c r="P253" s="58" t="s">
        <v>2</v>
      </c>
      <c r="Q253" s="59" t="s">
        <v>3</v>
      </c>
      <c r="R253" s="56" t="s">
        <v>2</v>
      </c>
      <c r="S253" s="57" t="s">
        <v>3</v>
      </c>
      <c r="T253" s="58" t="s">
        <v>2</v>
      </c>
      <c r="U253" s="59" t="s">
        <v>3</v>
      </c>
      <c r="V253" s="58" t="s">
        <v>2</v>
      </c>
      <c r="W253" s="59" t="s">
        <v>3</v>
      </c>
      <c r="X253" s="58" t="s">
        <v>2</v>
      </c>
      <c r="Y253" s="59" t="s">
        <v>3</v>
      </c>
      <c r="Z253" s="53"/>
      <c r="AA253" s="51"/>
    </row>
    <row r="254" spans="1:27" ht="18" customHeight="1">
      <c r="A254" s="75" t="s">
        <v>4</v>
      </c>
      <c r="B254" s="65"/>
      <c r="C254" s="65"/>
      <c r="D254" s="64"/>
      <c r="E254" s="65"/>
      <c r="F254" s="64"/>
      <c r="G254" s="65"/>
      <c r="H254" s="64"/>
      <c r="I254" s="65"/>
      <c r="J254" s="64"/>
      <c r="K254" s="65"/>
      <c r="L254" s="64"/>
      <c r="M254" s="65"/>
      <c r="N254" s="64"/>
      <c r="O254" s="65"/>
      <c r="P254" s="64"/>
      <c r="Q254" s="65"/>
      <c r="R254" s="64"/>
      <c r="S254" s="65"/>
      <c r="T254" s="64"/>
      <c r="U254" s="65"/>
      <c r="V254" s="64"/>
      <c r="W254" s="65"/>
      <c r="X254" s="64"/>
      <c r="Y254" s="65"/>
      <c r="Z254" s="7">
        <f>SUM(B254:Y254)</f>
        <v>0</v>
      </c>
      <c r="AA254" s="10"/>
    </row>
    <row r="255" spans="1:27" ht="18" customHeight="1" thickBot="1">
      <c r="A255" s="76" t="s">
        <v>37</v>
      </c>
      <c r="B255" s="67"/>
      <c r="C255" s="67"/>
      <c r="D255" s="66"/>
      <c r="E255" s="67"/>
      <c r="F255" s="66"/>
      <c r="G255" s="67"/>
      <c r="H255" s="66"/>
      <c r="I255" s="67"/>
      <c r="J255" s="66"/>
      <c r="K255" s="67"/>
      <c r="L255" s="66"/>
      <c r="M255" s="67"/>
      <c r="N255" s="66"/>
      <c r="O255" s="67"/>
      <c r="P255" s="66"/>
      <c r="Q255" s="67"/>
      <c r="R255" s="66"/>
      <c r="S255" s="67"/>
      <c r="T255" s="66"/>
      <c r="U255" s="67"/>
      <c r="V255" s="66"/>
      <c r="W255" s="67"/>
      <c r="X255" s="66"/>
      <c r="Y255" s="67"/>
      <c r="Z255" s="11">
        <f>SUM(B255:Y255)</f>
        <v>0</v>
      </c>
      <c r="AA255" s="9">
        <f>SUM(Z254:Z255)</f>
        <v>0</v>
      </c>
    </row>
    <row r="256" spans="1:27" ht="18" customHeight="1">
      <c r="A256" s="77" t="s">
        <v>34</v>
      </c>
      <c r="B256" s="73"/>
      <c r="C256" s="64"/>
      <c r="D256" s="64"/>
      <c r="E256" s="65"/>
      <c r="F256" s="64"/>
      <c r="G256" s="65"/>
      <c r="H256" s="64"/>
      <c r="I256" s="65"/>
      <c r="J256" s="64"/>
      <c r="K256" s="65"/>
      <c r="L256" s="64"/>
      <c r="M256" s="65"/>
      <c r="N256" s="64"/>
      <c r="O256" s="65"/>
      <c r="P256" s="64"/>
      <c r="Q256" s="65"/>
      <c r="R256" s="64"/>
      <c r="S256" s="65"/>
      <c r="T256" s="64"/>
      <c r="U256" s="65"/>
      <c r="V256" s="64"/>
      <c r="W256" s="65"/>
      <c r="X256" s="64"/>
      <c r="Y256" s="65"/>
      <c r="Z256" s="13">
        <f>SUM(B256:Y256)</f>
        <v>0</v>
      </c>
      <c r="AA256" s="5"/>
    </row>
    <row r="257" spans="1:27" ht="18" customHeight="1" thickBot="1">
      <c r="A257" s="28" t="s">
        <v>0</v>
      </c>
      <c r="B257" s="74"/>
      <c r="C257" s="66"/>
      <c r="D257" s="66"/>
      <c r="E257" s="67"/>
      <c r="F257" s="66"/>
      <c r="G257" s="67"/>
      <c r="H257" s="66"/>
      <c r="I257" s="67"/>
      <c r="J257" s="66"/>
      <c r="K257" s="67"/>
      <c r="L257" s="66"/>
      <c r="M257" s="67"/>
      <c r="N257" s="66"/>
      <c r="O257" s="67"/>
      <c r="P257" s="66"/>
      <c r="Q257" s="67"/>
      <c r="R257" s="66"/>
      <c r="S257" s="67"/>
      <c r="T257" s="66"/>
      <c r="U257" s="67"/>
      <c r="V257" s="66"/>
      <c r="W257" s="67"/>
      <c r="X257" s="66"/>
      <c r="Y257" s="67"/>
      <c r="Z257" s="8">
        <f>SUM(B257:Y257)</f>
        <v>0</v>
      </c>
      <c r="AA257" s="18"/>
    </row>
    <row r="258" spans="1:27" ht="18" customHeight="1">
      <c r="A258" s="28" t="s">
        <v>35</v>
      </c>
      <c r="B258" s="7">
        <v>0</v>
      </c>
      <c r="C258" s="7">
        <v>0</v>
      </c>
      <c r="D258" s="7">
        <v>0</v>
      </c>
      <c r="E258" s="7">
        <v>0</v>
      </c>
      <c r="F258" s="7">
        <f>SUM(B256-B257)</f>
        <v>0</v>
      </c>
      <c r="G258" s="7">
        <f t="shared" ref="G258" si="684">SUM(C256-C257)</f>
        <v>0</v>
      </c>
      <c r="H258" s="7">
        <f t="shared" ref="H258" si="685">SUM(D256-D257)</f>
        <v>0</v>
      </c>
      <c r="I258" s="7">
        <f t="shared" ref="I258" si="686">SUM(E256-E257)</f>
        <v>0</v>
      </c>
      <c r="J258" s="7">
        <f t="shared" ref="J258" si="687">SUM(F256-F257)</f>
        <v>0</v>
      </c>
      <c r="K258" s="7">
        <f t="shared" ref="K258" si="688">SUM(G256-G257)</f>
        <v>0</v>
      </c>
      <c r="L258" s="7">
        <f t="shared" ref="L258" si="689">SUM(H256-H257)</f>
        <v>0</v>
      </c>
      <c r="M258" s="7">
        <f t="shared" ref="M258" si="690">SUM(I256-I257)</f>
        <v>0</v>
      </c>
      <c r="N258" s="7">
        <f t="shared" ref="N258" si="691">SUM(J256-J257)</f>
        <v>0</v>
      </c>
      <c r="O258" s="7">
        <f t="shared" ref="O258" si="692">SUM(K256-K257)</f>
        <v>0</v>
      </c>
      <c r="P258" s="7">
        <f t="shared" ref="P258" si="693">SUM(L256-L257)</f>
        <v>0</v>
      </c>
      <c r="Q258" s="7">
        <f t="shared" ref="Q258" si="694">SUM(M256-M257)</f>
        <v>0</v>
      </c>
      <c r="R258" s="7">
        <f t="shared" ref="R258" si="695">SUM(N256-N257)</f>
        <v>0</v>
      </c>
      <c r="S258" s="7">
        <f t="shared" ref="S258" si="696">SUM(O256-O257)</f>
        <v>0</v>
      </c>
      <c r="T258" s="7">
        <f t="shared" ref="T258" si="697">SUM(P256-P257)</f>
        <v>0</v>
      </c>
      <c r="U258" s="7">
        <f t="shared" ref="U258" si="698">SUM(Q256-Q257)</f>
        <v>0</v>
      </c>
      <c r="V258" s="7">
        <f t="shared" ref="V258" si="699">SUM(R256-R257)</f>
        <v>0</v>
      </c>
      <c r="W258" s="7">
        <f t="shared" ref="W258" si="700">SUM(S256-S257)</f>
        <v>0</v>
      </c>
      <c r="X258" s="7">
        <f t="shared" ref="X258" si="701">SUM(T256-T257)</f>
        <v>0</v>
      </c>
      <c r="Y258" s="7">
        <f t="shared" ref="Y258" si="702">SUM(U256-U257)</f>
        <v>0</v>
      </c>
      <c r="Z258" s="8">
        <f>SUM(B258:Y258)</f>
        <v>0</v>
      </c>
      <c r="AA258" s="18">
        <f>SUM(Z257:Z258)</f>
        <v>0</v>
      </c>
    </row>
    <row r="259" spans="1:27" ht="17.25" customHeight="1" thickBot="1">
      <c r="A259" s="29" t="s">
        <v>39</v>
      </c>
      <c r="B259" s="325">
        <f>SUM(B258+C258)</f>
        <v>0</v>
      </c>
      <c r="C259" s="316"/>
      <c r="D259" s="315">
        <f t="shared" ref="D259" si="703">SUM(D258+E258)</f>
        <v>0</v>
      </c>
      <c r="E259" s="316"/>
      <c r="F259" s="315">
        <f t="shared" ref="F259" si="704">SUM(F258+G258)</f>
        <v>0</v>
      </c>
      <c r="G259" s="316"/>
      <c r="H259" s="315">
        <f t="shared" ref="H259" si="705">SUM(H258+I258)</f>
        <v>0</v>
      </c>
      <c r="I259" s="316"/>
      <c r="J259" s="315">
        <f t="shared" ref="J259" si="706">SUM(J258+K258)</f>
        <v>0</v>
      </c>
      <c r="K259" s="316"/>
      <c r="L259" s="315">
        <f t="shared" ref="L259" si="707">SUM(L258+M258)</f>
        <v>0</v>
      </c>
      <c r="M259" s="316"/>
      <c r="N259" s="315">
        <f t="shared" ref="N259" si="708">SUM(N258+O258)</f>
        <v>0</v>
      </c>
      <c r="O259" s="316"/>
      <c r="P259" s="315">
        <f t="shared" ref="P259" si="709">SUM(P258+Q258)</f>
        <v>0</v>
      </c>
      <c r="Q259" s="316"/>
      <c r="R259" s="315">
        <f t="shared" ref="R259" si="710">SUM(R258+S258)</f>
        <v>0</v>
      </c>
      <c r="S259" s="316"/>
      <c r="T259" s="315">
        <f t="shared" ref="T259" si="711">SUM(T258+U258)</f>
        <v>0</v>
      </c>
      <c r="U259" s="316"/>
      <c r="V259" s="315">
        <f t="shared" ref="V259" si="712">SUM(V258+W258)</f>
        <v>0</v>
      </c>
      <c r="W259" s="316"/>
      <c r="X259" s="315">
        <f t="shared" ref="X259" si="713">SUM(X258+Y258)</f>
        <v>0</v>
      </c>
      <c r="Y259" s="316"/>
      <c r="Z259" s="78"/>
      <c r="AA259" s="79"/>
    </row>
    <row r="260" spans="1:27" ht="18" customHeight="1">
      <c r="A260" s="326" t="s">
        <v>100</v>
      </c>
      <c r="B260" s="323" t="s">
        <v>38</v>
      </c>
      <c r="C260" s="324"/>
      <c r="D260" s="319" t="s">
        <v>38</v>
      </c>
      <c r="E260" s="320"/>
      <c r="F260" s="323" t="s">
        <v>38</v>
      </c>
      <c r="G260" s="324"/>
      <c r="H260" s="319" t="s">
        <v>38</v>
      </c>
      <c r="I260" s="320"/>
      <c r="J260" s="323" t="s">
        <v>38</v>
      </c>
      <c r="K260" s="324"/>
      <c r="L260" s="319" t="s">
        <v>38</v>
      </c>
      <c r="M260" s="320"/>
      <c r="N260" s="323" t="s">
        <v>38</v>
      </c>
      <c r="O260" s="324"/>
      <c r="P260" s="319" t="s">
        <v>38</v>
      </c>
      <c r="Q260" s="320"/>
      <c r="R260" s="323" t="s">
        <v>38</v>
      </c>
      <c r="S260" s="324"/>
      <c r="T260" s="319" t="s">
        <v>38</v>
      </c>
      <c r="U260" s="320"/>
      <c r="V260" s="319" t="s">
        <v>38</v>
      </c>
      <c r="W260" s="320"/>
      <c r="X260" s="319" t="s">
        <v>38</v>
      </c>
      <c r="Y260" s="320"/>
      <c r="Z260" s="54" t="s">
        <v>11</v>
      </c>
      <c r="AA260" s="52" t="s">
        <v>13</v>
      </c>
    </row>
    <row r="261" spans="1:27" ht="18" customHeight="1" thickBot="1">
      <c r="A261" s="327"/>
      <c r="B261" s="56" t="s">
        <v>2</v>
      </c>
      <c r="C261" s="57" t="s">
        <v>3</v>
      </c>
      <c r="D261" s="58" t="s">
        <v>2</v>
      </c>
      <c r="E261" s="59" t="s">
        <v>3</v>
      </c>
      <c r="F261" s="56" t="s">
        <v>2</v>
      </c>
      <c r="G261" s="57" t="s">
        <v>3</v>
      </c>
      <c r="H261" s="58" t="s">
        <v>2</v>
      </c>
      <c r="I261" s="59" t="s">
        <v>3</v>
      </c>
      <c r="J261" s="56" t="s">
        <v>2</v>
      </c>
      <c r="K261" s="57" t="s">
        <v>3</v>
      </c>
      <c r="L261" s="58" t="s">
        <v>2</v>
      </c>
      <c r="M261" s="59" t="s">
        <v>3</v>
      </c>
      <c r="N261" s="56" t="s">
        <v>2</v>
      </c>
      <c r="O261" s="57" t="s">
        <v>3</v>
      </c>
      <c r="P261" s="58" t="s">
        <v>2</v>
      </c>
      <c r="Q261" s="59" t="s">
        <v>3</v>
      </c>
      <c r="R261" s="56" t="s">
        <v>2</v>
      </c>
      <c r="S261" s="57" t="s">
        <v>3</v>
      </c>
      <c r="T261" s="58" t="s">
        <v>2</v>
      </c>
      <c r="U261" s="59" t="s">
        <v>3</v>
      </c>
      <c r="V261" s="58" t="s">
        <v>2</v>
      </c>
      <c r="W261" s="59" t="s">
        <v>3</v>
      </c>
      <c r="X261" s="58" t="s">
        <v>2</v>
      </c>
      <c r="Y261" s="59" t="s">
        <v>3</v>
      </c>
      <c r="Z261" s="53"/>
      <c r="AA261" s="51"/>
    </row>
    <row r="262" spans="1:27" ht="18" customHeight="1">
      <c r="A262" s="75" t="s">
        <v>4</v>
      </c>
      <c r="B262" s="65"/>
      <c r="C262" s="65"/>
      <c r="D262" s="64"/>
      <c r="E262" s="65"/>
      <c r="F262" s="64"/>
      <c r="G262" s="65"/>
      <c r="H262" s="64"/>
      <c r="I262" s="65"/>
      <c r="J262" s="64"/>
      <c r="K262" s="65"/>
      <c r="L262" s="64"/>
      <c r="M262" s="65"/>
      <c r="N262" s="64"/>
      <c r="O262" s="65"/>
      <c r="P262" s="64"/>
      <c r="Q262" s="65"/>
      <c r="R262" s="64"/>
      <c r="S262" s="65"/>
      <c r="T262" s="64"/>
      <c r="U262" s="65"/>
      <c r="V262" s="64"/>
      <c r="W262" s="65"/>
      <c r="X262" s="64"/>
      <c r="Y262" s="65"/>
      <c r="Z262" s="7">
        <f>SUM(B262:Y262)</f>
        <v>0</v>
      </c>
      <c r="AA262" s="10"/>
    </row>
    <row r="263" spans="1:27" ht="18" customHeight="1" thickBot="1">
      <c r="A263" s="76" t="s">
        <v>37</v>
      </c>
      <c r="B263" s="67"/>
      <c r="C263" s="67"/>
      <c r="D263" s="66"/>
      <c r="E263" s="67"/>
      <c r="F263" s="66"/>
      <c r="G263" s="67"/>
      <c r="H263" s="66"/>
      <c r="I263" s="67"/>
      <c r="J263" s="66"/>
      <c r="K263" s="67"/>
      <c r="L263" s="66"/>
      <c r="M263" s="67"/>
      <c r="N263" s="66"/>
      <c r="O263" s="67"/>
      <c r="P263" s="66"/>
      <c r="Q263" s="67"/>
      <c r="R263" s="66"/>
      <c r="S263" s="67"/>
      <c r="T263" s="66"/>
      <c r="U263" s="67"/>
      <c r="V263" s="66"/>
      <c r="W263" s="67"/>
      <c r="X263" s="66"/>
      <c r="Y263" s="67"/>
      <c r="Z263" s="11">
        <f>SUM(B263:Y263)</f>
        <v>0</v>
      </c>
      <c r="AA263" s="9">
        <f>SUM(Z262:Z263)</f>
        <v>0</v>
      </c>
    </row>
    <row r="264" spans="1:27" ht="18" customHeight="1">
      <c r="A264" s="77" t="s">
        <v>34</v>
      </c>
      <c r="B264" s="73"/>
      <c r="C264" s="64"/>
      <c r="D264" s="64"/>
      <c r="E264" s="65"/>
      <c r="F264" s="64"/>
      <c r="G264" s="65"/>
      <c r="H264" s="64"/>
      <c r="I264" s="65"/>
      <c r="J264" s="64"/>
      <c r="K264" s="65"/>
      <c r="L264" s="64"/>
      <c r="M264" s="65"/>
      <c r="N264" s="64"/>
      <c r="O264" s="65"/>
      <c r="P264" s="64"/>
      <c r="Q264" s="65"/>
      <c r="R264" s="64"/>
      <c r="S264" s="65"/>
      <c r="T264" s="64"/>
      <c r="U264" s="65"/>
      <c r="V264" s="64"/>
      <c r="W264" s="65"/>
      <c r="X264" s="64"/>
      <c r="Y264" s="65"/>
      <c r="Z264" s="13">
        <f>SUM(B264:Y264)</f>
        <v>0</v>
      </c>
      <c r="AA264" s="5"/>
    </row>
    <row r="265" spans="1:27" ht="18" customHeight="1" thickBot="1">
      <c r="A265" s="28" t="s">
        <v>0</v>
      </c>
      <c r="B265" s="74"/>
      <c r="C265" s="66"/>
      <c r="D265" s="66"/>
      <c r="E265" s="67"/>
      <c r="F265" s="66"/>
      <c r="G265" s="67"/>
      <c r="H265" s="66"/>
      <c r="I265" s="67"/>
      <c r="J265" s="66"/>
      <c r="K265" s="67"/>
      <c r="L265" s="66"/>
      <c r="M265" s="67"/>
      <c r="N265" s="66"/>
      <c r="O265" s="67"/>
      <c r="P265" s="66"/>
      <c r="Q265" s="67"/>
      <c r="R265" s="66"/>
      <c r="S265" s="67"/>
      <c r="T265" s="66"/>
      <c r="U265" s="67"/>
      <c r="V265" s="66"/>
      <c r="W265" s="67"/>
      <c r="X265" s="66"/>
      <c r="Y265" s="67"/>
      <c r="Z265" s="8">
        <f>SUM(B265:Y265)</f>
        <v>0</v>
      </c>
      <c r="AA265" s="18"/>
    </row>
    <row r="266" spans="1:27" ht="18" customHeight="1">
      <c r="A266" s="28" t="s">
        <v>35</v>
      </c>
      <c r="B266" s="7">
        <v>0</v>
      </c>
      <c r="C266" s="7">
        <v>0</v>
      </c>
      <c r="D266" s="7">
        <v>0</v>
      </c>
      <c r="E266" s="7">
        <v>0</v>
      </c>
      <c r="F266" s="7">
        <f>SUM(B264-B265)</f>
        <v>0</v>
      </c>
      <c r="G266" s="7">
        <f t="shared" ref="G266" si="714">SUM(C264-C265)</f>
        <v>0</v>
      </c>
      <c r="H266" s="7">
        <f t="shared" ref="H266" si="715">SUM(D264-D265)</f>
        <v>0</v>
      </c>
      <c r="I266" s="7">
        <f t="shared" ref="I266" si="716">SUM(E264-E265)</f>
        <v>0</v>
      </c>
      <c r="J266" s="7">
        <f t="shared" ref="J266" si="717">SUM(F264-F265)</f>
        <v>0</v>
      </c>
      <c r="K266" s="7">
        <f t="shared" ref="K266" si="718">SUM(G264-G265)</f>
        <v>0</v>
      </c>
      <c r="L266" s="7">
        <f t="shared" ref="L266" si="719">SUM(H264-H265)</f>
        <v>0</v>
      </c>
      <c r="M266" s="7">
        <f t="shared" ref="M266" si="720">SUM(I264-I265)</f>
        <v>0</v>
      </c>
      <c r="N266" s="7">
        <f t="shared" ref="N266" si="721">SUM(J264-J265)</f>
        <v>0</v>
      </c>
      <c r="O266" s="7">
        <f t="shared" ref="O266" si="722">SUM(K264-K265)</f>
        <v>0</v>
      </c>
      <c r="P266" s="7">
        <f t="shared" ref="P266" si="723">SUM(L264-L265)</f>
        <v>0</v>
      </c>
      <c r="Q266" s="7">
        <f t="shared" ref="Q266" si="724">SUM(M264-M265)</f>
        <v>0</v>
      </c>
      <c r="R266" s="7">
        <f t="shared" ref="R266" si="725">SUM(N264-N265)</f>
        <v>0</v>
      </c>
      <c r="S266" s="7">
        <f t="shared" ref="S266" si="726">SUM(O264-O265)</f>
        <v>0</v>
      </c>
      <c r="T266" s="7">
        <f t="shared" ref="T266" si="727">SUM(P264-P265)</f>
        <v>0</v>
      </c>
      <c r="U266" s="7">
        <f t="shared" ref="U266" si="728">SUM(Q264-Q265)</f>
        <v>0</v>
      </c>
      <c r="V266" s="7">
        <f t="shared" ref="V266" si="729">SUM(R264-R265)</f>
        <v>0</v>
      </c>
      <c r="W266" s="7">
        <f t="shared" ref="W266" si="730">SUM(S264-S265)</f>
        <v>0</v>
      </c>
      <c r="X266" s="7">
        <f t="shared" ref="X266" si="731">SUM(T264-T265)</f>
        <v>0</v>
      </c>
      <c r="Y266" s="7">
        <f t="shared" ref="Y266" si="732">SUM(U264-U265)</f>
        <v>0</v>
      </c>
      <c r="Z266" s="8">
        <f>SUM(B266:Y266)</f>
        <v>0</v>
      </c>
      <c r="AA266" s="18">
        <f>SUM(Z265:Z266)</f>
        <v>0</v>
      </c>
    </row>
    <row r="267" spans="1:27" ht="17.25" customHeight="1" thickBot="1">
      <c r="A267" s="29" t="s">
        <v>39</v>
      </c>
      <c r="B267" s="325">
        <f>SUM(B266+C266)</f>
        <v>0</v>
      </c>
      <c r="C267" s="316"/>
      <c r="D267" s="315">
        <f t="shared" ref="D267" si="733">SUM(D266+E266)</f>
        <v>0</v>
      </c>
      <c r="E267" s="316"/>
      <c r="F267" s="315">
        <f t="shared" ref="F267" si="734">SUM(F266+G266)</f>
        <v>0</v>
      </c>
      <c r="G267" s="316"/>
      <c r="H267" s="315">
        <f t="shared" ref="H267" si="735">SUM(H266+I266)</f>
        <v>0</v>
      </c>
      <c r="I267" s="316"/>
      <c r="J267" s="315">
        <f t="shared" ref="J267" si="736">SUM(J266+K266)</f>
        <v>0</v>
      </c>
      <c r="K267" s="316"/>
      <c r="L267" s="315">
        <f t="shared" ref="L267" si="737">SUM(L266+M266)</f>
        <v>0</v>
      </c>
      <c r="M267" s="316"/>
      <c r="N267" s="315">
        <f t="shared" ref="N267" si="738">SUM(N266+O266)</f>
        <v>0</v>
      </c>
      <c r="O267" s="316"/>
      <c r="P267" s="315">
        <f t="shared" ref="P267" si="739">SUM(P266+Q266)</f>
        <v>0</v>
      </c>
      <c r="Q267" s="316"/>
      <c r="R267" s="315">
        <f t="shared" ref="R267" si="740">SUM(R266+S266)</f>
        <v>0</v>
      </c>
      <c r="S267" s="316"/>
      <c r="T267" s="315">
        <f t="shared" ref="T267" si="741">SUM(T266+U266)</f>
        <v>0</v>
      </c>
      <c r="U267" s="316"/>
      <c r="V267" s="315">
        <f t="shared" ref="V267" si="742">SUM(V266+W266)</f>
        <v>0</v>
      </c>
      <c r="W267" s="316"/>
      <c r="X267" s="315">
        <f t="shared" ref="X267" si="743">SUM(X266+Y266)</f>
        <v>0</v>
      </c>
      <c r="Y267" s="316"/>
      <c r="Z267" s="78"/>
      <c r="AA267" s="79"/>
    </row>
    <row r="268" spans="1:27" ht="18" customHeight="1">
      <c r="A268" s="326" t="s">
        <v>101</v>
      </c>
      <c r="B268" s="323" t="s">
        <v>38</v>
      </c>
      <c r="C268" s="324"/>
      <c r="D268" s="319" t="s">
        <v>38</v>
      </c>
      <c r="E268" s="320"/>
      <c r="F268" s="323" t="s">
        <v>38</v>
      </c>
      <c r="G268" s="324"/>
      <c r="H268" s="319" t="s">
        <v>38</v>
      </c>
      <c r="I268" s="320"/>
      <c r="J268" s="323" t="s">
        <v>38</v>
      </c>
      <c r="K268" s="324"/>
      <c r="L268" s="319" t="s">
        <v>38</v>
      </c>
      <c r="M268" s="320"/>
      <c r="N268" s="323" t="s">
        <v>38</v>
      </c>
      <c r="O268" s="324"/>
      <c r="P268" s="319" t="s">
        <v>38</v>
      </c>
      <c r="Q268" s="320"/>
      <c r="R268" s="323" t="s">
        <v>38</v>
      </c>
      <c r="S268" s="324"/>
      <c r="T268" s="319" t="s">
        <v>38</v>
      </c>
      <c r="U268" s="320"/>
      <c r="V268" s="319" t="s">
        <v>38</v>
      </c>
      <c r="W268" s="320"/>
      <c r="X268" s="319" t="s">
        <v>38</v>
      </c>
      <c r="Y268" s="320"/>
      <c r="Z268" s="54" t="s">
        <v>11</v>
      </c>
      <c r="AA268" s="52" t="s">
        <v>13</v>
      </c>
    </row>
    <row r="269" spans="1:27" ht="18" customHeight="1" thickBot="1">
      <c r="A269" s="327"/>
      <c r="B269" s="56" t="s">
        <v>2</v>
      </c>
      <c r="C269" s="57" t="s">
        <v>3</v>
      </c>
      <c r="D269" s="58" t="s">
        <v>2</v>
      </c>
      <c r="E269" s="59" t="s">
        <v>3</v>
      </c>
      <c r="F269" s="56" t="s">
        <v>2</v>
      </c>
      <c r="G269" s="57" t="s">
        <v>3</v>
      </c>
      <c r="H269" s="58" t="s">
        <v>2</v>
      </c>
      <c r="I269" s="59" t="s">
        <v>3</v>
      </c>
      <c r="J269" s="56" t="s">
        <v>2</v>
      </c>
      <c r="K269" s="57" t="s">
        <v>3</v>
      </c>
      <c r="L269" s="58" t="s">
        <v>2</v>
      </c>
      <c r="M269" s="59" t="s">
        <v>3</v>
      </c>
      <c r="N269" s="56" t="s">
        <v>2</v>
      </c>
      <c r="O269" s="57" t="s">
        <v>3</v>
      </c>
      <c r="P269" s="58" t="s">
        <v>2</v>
      </c>
      <c r="Q269" s="59" t="s">
        <v>3</v>
      </c>
      <c r="R269" s="56" t="s">
        <v>2</v>
      </c>
      <c r="S269" s="57" t="s">
        <v>3</v>
      </c>
      <c r="T269" s="58" t="s">
        <v>2</v>
      </c>
      <c r="U269" s="59" t="s">
        <v>3</v>
      </c>
      <c r="V269" s="58" t="s">
        <v>2</v>
      </c>
      <c r="W269" s="59" t="s">
        <v>3</v>
      </c>
      <c r="X269" s="58" t="s">
        <v>2</v>
      </c>
      <c r="Y269" s="59" t="s">
        <v>3</v>
      </c>
      <c r="Z269" s="53"/>
      <c r="AA269" s="51"/>
    </row>
    <row r="270" spans="1:27" ht="18" customHeight="1">
      <c r="A270" s="75" t="s">
        <v>4</v>
      </c>
      <c r="B270" s="65"/>
      <c r="C270" s="65"/>
      <c r="D270" s="64"/>
      <c r="E270" s="65"/>
      <c r="F270" s="64"/>
      <c r="G270" s="65"/>
      <c r="H270" s="64"/>
      <c r="I270" s="65"/>
      <c r="J270" s="64"/>
      <c r="K270" s="65"/>
      <c r="L270" s="64"/>
      <c r="M270" s="65"/>
      <c r="N270" s="64"/>
      <c r="O270" s="65"/>
      <c r="P270" s="64"/>
      <c r="Q270" s="65"/>
      <c r="R270" s="64"/>
      <c r="S270" s="65"/>
      <c r="T270" s="64"/>
      <c r="U270" s="65"/>
      <c r="V270" s="64"/>
      <c r="W270" s="65"/>
      <c r="X270" s="64"/>
      <c r="Y270" s="65"/>
      <c r="Z270" s="7">
        <f>SUM(B270:Y270)</f>
        <v>0</v>
      </c>
      <c r="AA270" s="10"/>
    </row>
    <row r="271" spans="1:27" ht="18" customHeight="1" thickBot="1">
      <c r="A271" s="76" t="s">
        <v>37</v>
      </c>
      <c r="B271" s="67"/>
      <c r="C271" s="67"/>
      <c r="D271" s="66"/>
      <c r="E271" s="67"/>
      <c r="F271" s="66"/>
      <c r="G271" s="67"/>
      <c r="H271" s="66"/>
      <c r="I271" s="67"/>
      <c r="J271" s="66"/>
      <c r="K271" s="67"/>
      <c r="L271" s="66"/>
      <c r="M271" s="67"/>
      <c r="N271" s="66"/>
      <c r="O271" s="67"/>
      <c r="P271" s="66"/>
      <c r="Q271" s="67"/>
      <c r="R271" s="66"/>
      <c r="S271" s="67"/>
      <c r="T271" s="66"/>
      <c r="U271" s="67"/>
      <c r="V271" s="66"/>
      <c r="W271" s="67"/>
      <c r="X271" s="66"/>
      <c r="Y271" s="67"/>
      <c r="Z271" s="11">
        <f>SUM(B271:Y271)</f>
        <v>0</v>
      </c>
      <c r="AA271" s="9">
        <f>SUM(Z270:Z271)</f>
        <v>0</v>
      </c>
    </row>
    <row r="272" spans="1:27" ht="18" customHeight="1">
      <c r="A272" s="77" t="s">
        <v>34</v>
      </c>
      <c r="B272" s="73"/>
      <c r="C272" s="64"/>
      <c r="D272" s="64"/>
      <c r="E272" s="65"/>
      <c r="F272" s="64"/>
      <c r="G272" s="65"/>
      <c r="H272" s="64"/>
      <c r="I272" s="65"/>
      <c r="J272" s="64"/>
      <c r="K272" s="65"/>
      <c r="L272" s="64"/>
      <c r="M272" s="65"/>
      <c r="N272" s="64"/>
      <c r="O272" s="65"/>
      <c r="P272" s="64"/>
      <c r="Q272" s="65"/>
      <c r="R272" s="64"/>
      <c r="S272" s="65"/>
      <c r="T272" s="64"/>
      <c r="U272" s="65"/>
      <c r="V272" s="64"/>
      <c r="W272" s="65"/>
      <c r="X272" s="64"/>
      <c r="Y272" s="65"/>
      <c r="Z272" s="13">
        <f>SUM(B272:Y272)</f>
        <v>0</v>
      </c>
      <c r="AA272" s="5"/>
    </row>
    <row r="273" spans="1:27" ht="18" customHeight="1" thickBot="1">
      <c r="A273" s="28" t="s">
        <v>0</v>
      </c>
      <c r="B273" s="74"/>
      <c r="C273" s="66"/>
      <c r="D273" s="66"/>
      <c r="E273" s="67"/>
      <c r="F273" s="66"/>
      <c r="G273" s="67"/>
      <c r="H273" s="66"/>
      <c r="I273" s="67"/>
      <c r="J273" s="66"/>
      <c r="K273" s="67"/>
      <c r="L273" s="66"/>
      <c r="M273" s="67"/>
      <c r="N273" s="66"/>
      <c r="O273" s="67"/>
      <c r="P273" s="66"/>
      <c r="Q273" s="67"/>
      <c r="R273" s="66"/>
      <c r="S273" s="67"/>
      <c r="T273" s="66"/>
      <c r="U273" s="67"/>
      <c r="V273" s="66"/>
      <c r="W273" s="67"/>
      <c r="X273" s="66"/>
      <c r="Y273" s="67"/>
      <c r="Z273" s="8">
        <f>SUM(B273:Y273)</f>
        <v>0</v>
      </c>
      <c r="AA273" s="18"/>
    </row>
    <row r="274" spans="1:27" ht="18" customHeight="1">
      <c r="A274" s="28" t="s">
        <v>35</v>
      </c>
      <c r="B274" s="7">
        <v>0</v>
      </c>
      <c r="C274" s="7">
        <v>0</v>
      </c>
      <c r="D274" s="7">
        <v>0</v>
      </c>
      <c r="E274" s="7">
        <v>0</v>
      </c>
      <c r="F274" s="7">
        <f>SUM(B272-B273)</f>
        <v>0</v>
      </c>
      <c r="G274" s="7">
        <f t="shared" ref="G274" si="744">SUM(C272-C273)</f>
        <v>0</v>
      </c>
      <c r="H274" s="7">
        <f t="shared" ref="H274" si="745">SUM(D272-D273)</f>
        <v>0</v>
      </c>
      <c r="I274" s="7">
        <f t="shared" ref="I274" si="746">SUM(E272-E273)</f>
        <v>0</v>
      </c>
      <c r="J274" s="7">
        <f t="shared" ref="J274" si="747">SUM(F272-F273)</f>
        <v>0</v>
      </c>
      <c r="K274" s="7">
        <f t="shared" ref="K274" si="748">SUM(G272-G273)</f>
        <v>0</v>
      </c>
      <c r="L274" s="7">
        <f t="shared" ref="L274" si="749">SUM(H272-H273)</f>
        <v>0</v>
      </c>
      <c r="M274" s="7">
        <f t="shared" ref="M274" si="750">SUM(I272-I273)</f>
        <v>0</v>
      </c>
      <c r="N274" s="7">
        <f t="shared" ref="N274" si="751">SUM(J272-J273)</f>
        <v>0</v>
      </c>
      <c r="O274" s="7">
        <f t="shared" ref="O274" si="752">SUM(K272-K273)</f>
        <v>0</v>
      </c>
      <c r="P274" s="7">
        <f t="shared" ref="P274" si="753">SUM(L272-L273)</f>
        <v>0</v>
      </c>
      <c r="Q274" s="7">
        <f t="shared" ref="Q274" si="754">SUM(M272-M273)</f>
        <v>0</v>
      </c>
      <c r="R274" s="7">
        <f t="shared" ref="R274" si="755">SUM(N272-N273)</f>
        <v>0</v>
      </c>
      <c r="S274" s="7">
        <f t="shared" ref="S274" si="756">SUM(O272-O273)</f>
        <v>0</v>
      </c>
      <c r="T274" s="7">
        <f t="shared" ref="T274" si="757">SUM(P272-P273)</f>
        <v>0</v>
      </c>
      <c r="U274" s="7">
        <f t="shared" ref="U274" si="758">SUM(Q272-Q273)</f>
        <v>0</v>
      </c>
      <c r="V274" s="7">
        <f t="shared" ref="V274" si="759">SUM(R272-R273)</f>
        <v>0</v>
      </c>
      <c r="W274" s="7">
        <f t="shared" ref="W274" si="760">SUM(S272-S273)</f>
        <v>0</v>
      </c>
      <c r="X274" s="7">
        <f t="shared" ref="X274" si="761">SUM(T272-T273)</f>
        <v>0</v>
      </c>
      <c r="Y274" s="7">
        <f t="shared" ref="Y274" si="762">SUM(U272-U273)</f>
        <v>0</v>
      </c>
      <c r="Z274" s="8">
        <f>SUM(B274:Y274)</f>
        <v>0</v>
      </c>
      <c r="AA274" s="18">
        <f>SUM(Z273:Z274)</f>
        <v>0</v>
      </c>
    </row>
    <row r="275" spans="1:27" ht="17.25" customHeight="1" thickBot="1">
      <c r="A275" s="29" t="s">
        <v>39</v>
      </c>
      <c r="B275" s="325">
        <f>SUM(B274+C274)</f>
        <v>0</v>
      </c>
      <c r="C275" s="316"/>
      <c r="D275" s="315">
        <f t="shared" ref="D275" si="763">SUM(D274+E274)</f>
        <v>0</v>
      </c>
      <c r="E275" s="316"/>
      <c r="F275" s="315">
        <f t="shared" ref="F275" si="764">SUM(F274+G274)</f>
        <v>0</v>
      </c>
      <c r="G275" s="316"/>
      <c r="H275" s="315">
        <f t="shared" ref="H275" si="765">SUM(H274+I274)</f>
        <v>0</v>
      </c>
      <c r="I275" s="316"/>
      <c r="J275" s="315">
        <f t="shared" ref="J275" si="766">SUM(J274+K274)</f>
        <v>0</v>
      </c>
      <c r="K275" s="316"/>
      <c r="L275" s="315">
        <f t="shared" ref="L275" si="767">SUM(L274+M274)</f>
        <v>0</v>
      </c>
      <c r="M275" s="316"/>
      <c r="N275" s="315">
        <f t="shared" ref="N275" si="768">SUM(N274+O274)</f>
        <v>0</v>
      </c>
      <c r="O275" s="316"/>
      <c r="P275" s="315">
        <f t="shared" ref="P275" si="769">SUM(P274+Q274)</f>
        <v>0</v>
      </c>
      <c r="Q275" s="316"/>
      <c r="R275" s="315">
        <f t="shared" ref="R275" si="770">SUM(R274+S274)</f>
        <v>0</v>
      </c>
      <c r="S275" s="316"/>
      <c r="T275" s="315">
        <f t="shared" ref="T275" si="771">SUM(T274+U274)</f>
        <v>0</v>
      </c>
      <c r="U275" s="316"/>
      <c r="V275" s="315">
        <f t="shared" ref="V275" si="772">SUM(V274+W274)</f>
        <v>0</v>
      </c>
      <c r="W275" s="316"/>
      <c r="X275" s="315">
        <f t="shared" ref="X275" si="773">SUM(X274+Y274)</f>
        <v>0</v>
      </c>
      <c r="Y275" s="316"/>
      <c r="Z275" s="78"/>
      <c r="AA275" s="79"/>
    </row>
    <row r="276" spans="1:27" ht="18" customHeight="1">
      <c r="A276" s="326" t="s">
        <v>102</v>
      </c>
      <c r="B276" s="323" t="s">
        <v>38</v>
      </c>
      <c r="C276" s="324"/>
      <c r="D276" s="319" t="s">
        <v>38</v>
      </c>
      <c r="E276" s="320"/>
      <c r="F276" s="323" t="s">
        <v>38</v>
      </c>
      <c r="G276" s="324"/>
      <c r="H276" s="319" t="s">
        <v>38</v>
      </c>
      <c r="I276" s="320"/>
      <c r="J276" s="323" t="s">
        <v>38</v>
      </c>
      <c r="K276" s="324"/>
      <c r="L276" s="319" t="s">
        <v>38</v>
      </c>
      <c r="M276" s="320"/>
      <c r="N276" s="323" t="s">
        <v>38</v>
      </c>
      <c r="O276" s="324"/>
      <c r="P276" s="319" t="s">
        <v>38</v>
      </c>
      <c r="Q276" s="320"/>
      <c r="R276" s="323" t="s">
        <v>38</v>
      </c>
      <c r="S276" s="324"/>
      <c r="T276" s="319" t="s">
        <v>38</v>
      </c>
      <c r="U276" s="320"/>
      <c r="V276" s="319" t="s">
        <v>38</v>
      </c>
      <c r="W276" s="320"/>
      <c r="X276" s="319" t="s">
        <v>38</v>
      </c>
      <c r="Y276" s="320"/>
      <c r="Z276" s="54" t="s">
        <v>11</v>
      </c>
      <c r="AA276" s="52" t="s">
        <v>13</v>
      </c>
    </row>
    <row r="277" spans="1:27" ht="18" customHeight="1" thickBot="1">
      <c r="A277" s="327"/>
      <c r="B277" s="56" t="s">
        <v>2</v>
      </c>
      <c r="C277" s="57" t="s">
        <v>3</v>
      </c>
      <c r="D277" s="58" t="s">
        <v>2</v>
      </c>
      <c r="E277" s="59" t="s">
        <v>3</v>
      </c>
      <c r="F277" s="56" t="s">
        <v>2</v>
      </c>
      <c r="G277" s="57" t="s">
        <v>3</v>
      </c>
      <c r="H277" s="58" t="s">
        <v>2</v>
      </c>
      <c r="I277" s="59" t="s">
        <v>3</v>
      </c>
      <c r="J277" s="56" t="s">
        <v>2</v>
      </c>
      <c r="K277" s="57" t="s">
        <v>3</v>
      </c>
      <c r="L277" s="58" t="s">
        <v>2</v>
      </c>
      <c r="M277" s="59" t="s">
        <v>3</v>
      </c>
      <c r="N277" s="56" t="s">
        <v>2</v>
      </c>
      <c r="O277" s="57" t="s">
        <v>3</v>
      </c>
      <c r="P277" s="58" t="s">
        <v>2</v>
      </c>
      <c r="Q277" s="59" t="s">
        <v>3</v>
      </c>
      <c r="R277" s="56" t="s">
        <v>2</v>
      </c>
      <c r="S277" s="57" t="s">
        <v>3</v>
      </c>
      <c r="T277" s="58" t="s">
        <v>2</v>
      </c>
      <c r="U277" s="59" t="s">
        <v>3</v>
      </c>
      <c r="V277" s="58" t="s">
        <v>2</v>
      </c>
      <c r="W277" s="59" t="s">
        <v>3</v>
      </c>
      <c r="X277" s="58" t="s">
        <v>2</v>
      </c>
      <c r="Y277" s="59" t="s">
        <v>3</v>
      </c>
      <c r="Z277" s="53"/>
      <c r="AA277" s="51"/>
    </row>
    <row r="278" spans="1:27" ht="18" customHeight="1">
      <c r="A278" s="75" t="s">
        <v>4</v>
      </c>
      <c r="B278" s="65"/>
      <c r="C278" s="65"/>
      <c r="D278" s="64"/>
      <c r="E278" s="65"/>
      <c r="F278" s="64"/>
      <c r="G278" s="65"/>
      <c r="H278" s="64"/>
      <c r="I278" s="65"/>
      <c r="J278" s="64"/>
      <c r="K278" s="65"/>
      <c r="L278" s="64"/>
      <c r="M278" s="65"/>
      <c r="N278" s="64"/>
      <c r="O278" s="65"/>
      <c r="P278" s="64"/>
      <c r="Q278" s="65"/>
      <c r="R278" s="64"/>
      <c r="S278" s="65"/>
      <c r="T278" s="64"/>
      <c r="U278" s="65"/>
      <c r="V278" s="64"/>
      <c r="W278" s="65"/>
      <c r="X278" s="64"/>
      <c r="Y278" s="65"/>
      <c r="Z278" s="7">
        <f>SUM(B278:Y278)</f>
        <v>0</v>
      </c>
      <c r="AA278" s="10"/>
    </row>
    <row r="279" spans="1:27" ht="18" customHeight="1" thickBot="1">
      <c r="A279" s="76" t="s">
        <v>37</v>
      </c>
      <c r="B279" s="67"/>
      <c r="C279" s="67"/>
      <c r="D279" s="66"/>
      <c r="E279" s="67"/>
      <c r="F279" s="66"/>
      <c r="G279" s="67"/>
      <c r="H279" s="66"/>
      <c r="I279" s="67"/>
      <c r="J279" s="66"/>
      <c r="K279" s="67"/>
      <c r="L279" s="66"/>
      <c r="M279" s="67"/>
      <c r="N279" s="66"/>
      <c r="O279" s="67"/>
      <c r="P279" s="66"/>
      <c r="Q279" s="67"/>
      <c r="R279" s="66"/>
      <c r="S279" s="67"/>
      <c r="T279" s="66"/>
      <c r="U279" s="67"/>
      <c r="V279" s="66"/>
      <c r="W279" s="67"/>
      <c r="X279" s="66"/>
      <c r="Y279" s="67"/>
      <c r="Z279" s="11">
        <f>SUM(B279:Y279)</f>
        <v>0</v>
      </c>
      <c r="AA279" s="9">
        <f>SUM(Z278:Z279)</f>
        <v>0</v>
      </c>
    </row>
    <row r="280" spans="1:27" ht="18" customHeight="1">
      <c r="A280" s="77" t="s">
        <v>34</v>
      </c>
      <c r="B280" s="73"/>
      <c r="C280" s="64"/>
      <c r="D280" s="64"/>
      <c r="E280" s="65"/>
      <c r="F280" s="64"/>
      <c r="G280" s="65"/>
      <c r="H280" s="64"/>
      <c r="I280" s="65"/>
      <c r="J280" s="64"/>
      <c r="K280" s="65"/>
      <c r="L280" s="64"/>
      <c r="M280" s="65"/>
      <c r="N280" s="64"/>
      <c r="O280" s="65"/>
      <c r="P280" s="64"/>
      <c r="Q280" s="65"/>
      <c r="R280" s="64"/>
      <c r="S280" s="65"/>
      <c r="T280" s="64"/>
      <c r="U280" s="65"/>
      <c r="V280" s="64"/>
      <c r="W280" s="65"/>
      <c r="X280" s="64"/>
      <c r="Y280" s="65"/>
      <c r="Z280" s="13">
        <f>SUM(B280:Y280)</f>
        <v>0</v>
      </c>
      <c r="AA280" s="5"/>
    </row>
    <row r="281" spans="1:27" ht="18" customHeight="1" thickBot="1">
      <c r="A281" s="28" t="s">
        <v>0</v>
      </c>
      <c r="B281" s="74"/>
      <c r="C281" s="66"/>
      <c r="D281" s="66"/>
      <c r="E281" s="67"/>
      <c r="F281" s="66"/>
      <c r="G281" s="67"/>
      <c r="H281" s="66"/>
      <c r="I281" s="67"/>
      <c r="J281" s="66"/>
      <c r="K281" s="67"/>
      <c r="L281" s="66"/>
      <c r="M281" s="67"/>
      <c r="N281" s="66"/>
      <c r="O281" s="67"/>
      <c r="P281" s="66"/>
      <c r="Q281" s="67"/>
      <c r="R281" s="66"/>
      <c r="S281" s="67"/>
      <c r="T281" s="66"/>
      <c r="U281" s="67"/>
      <c r="V281" s="66"/>
      <c r="W281" s="67"/>
      <c r="X281" s="66"/>
      <c r="Y281" s="67"/>
      <c r="Z281" s="8">
        <f>SUM(B281:Y281)</f>
        <v>0</v>
      </c>
      <c r="AA281" s="18"/>
    </row>
    <row r="282" spans="1:27" ht="18" customHeight="1">
      <c r="A282" s="28" t="s">
        <v>35</v>
      </c>
      <c r="B282" s="7">
        <v>0</v>
      </c>
      <c r="C282" s="7">
        <v>0</v>
      </c>
      <c r="D282" s="7">
        <v>0</v>
      </c>
      <c r="E282" s="7">
        <v>0</v>
      </c>
      <c r="F282" s="7">
        <f>SUM(B280-B281)</f>
        <v>0</v>
      </c>
      <c r="G282" s="7">
        <f t="shared" ref="G282" si="774">SUM(C280-C281)</f>
        <v>0</v>
      </c>
      <c r="H282" s="7">
        <f t="shared" ref="H282" si="775">SUM(D280-D281)</f>
        <v>0</v>
      </c>
      <c r="I282" s="7">
        <f t="shared" ref="I282" si="776">SUM(E280-E281)</f>
        <v>0</v>
      </c>
      <c r="J282" s="7">
        <f t="shared" ref="J282" si="777">SUM(F280-F281)</f>
        <v>0</v>
      </c>
      <c r="K282" s="7">
        <f t="shared" ref="K282" si="778">SUM(G280-G281)</f>
        <v>0</v>
      </c>
      <c r="L282" s="7">
        <f t="shared" ref="L282" si="779">SUM(H280-H281)</f>
        <v>0</v>
      </c>
      <c r="M282" s="7">
        <f t="shared" ref="M282" si="780">SUM(I280-I281)</f>
        <v>0</v>
      </c>
      <c r="N282" s="7">
        <f t="shared" ref="N282" si="781">SUM(J280-J281)</f>
        <v>0</v>
      </c>
      <c r="O282" s="7">
        <f t="shared" ref="O282" si="782">SUM(K280-K281)</f>
        <v>0</v>
      </c>
      <c r="P282" s="7">
        <f t="shared" ref="P282" si="783">SUM(L280-L281)</f>
        <v>0</v>
      </c>
      <c r="Q282" s="7">
        <f t="shared" ref="Q282" si="784">SUM(M280-M281)</f>
        <v>0</v>
      </c>
      <c r="R282" s="7">
        <f t="shared" ref="R282" si="785">SUM(N280-N281)</f>
        <v>0</v>
      </c>
      <c r="S282" s="7">
        <f t="shared" ref="S282" si="786">SUM(O280-O281)</f>
        <v>0</v>
      </c>
      <c r="T282" s="7">
        <f t="shared" ref="T282" si="787">SUM(P280-P281)</f>
        <v>0</v>
      </c>
      <c r="U282" s="7">
        <f t="shared" ref="U282" si="788">SUM(Q280-Q281)</f>
        <v>0</v>
      </c>
      <c r="V282" s="7">
        <f t="shared" ref="V282" si="789">SUM(R280-R281)</f>
        <v>0</v>
      </c>
      <c r="W282" s="7">
        <f t="shared" ref="W282" si="790">SUM(S280-S281)</f>
        <v>0</v>
      </c>
      <c r="X282" s="7">
        <f t="shared" ref="X282" si="791">SUM(T280-T281)</f>
        <v>0</v>
      </c>
      <c r="Y282" s="7">
        <f t="shared" ref="Y282" si="792">SUM(U280-U281)</f>
        <v>0</v>
      </c>
      <c r="Z282" s="8">
        <f>SUM(B282:Y282)</f>
        <v>0</v>
      </c>
      <c r="AA282" s="18">
        <f>SUM(Z281:Z282)</f>
        <v>0</v>
      </c>
    </row>
    <row r="283" spans="1:27" ht="17.25" customHeight="1" thickBot="1">
      <c r="A283" s="29" t="s">
        <v>39</v>
      </c>
      <c r="B283" s="325">
        <f>SUM(B282+C282)</f>
        <v>0</v>
      </c>
      <c r="C283" s="316"/>
      <c r="D283" s="315">
        <f t="shared" ref="D283" si="793">SUM(D282+E282)</f>
        <v>0</v>
      </c>
      <c r="E283" s="316"/>
      <c r="F283" s="315">
        <f t="shared" ref="F283" si="794">SUM(F282+G282)</f>
        <v>0</v>
      </c>
      <c r="G283" s="316"/>
      <c r="H283" s="315">
        <f t="shared" ref="H283" si="795">SUM(H282+I282)</f>
        <v>0</v>
      </c>
      <c r="I283" s="316"/>
      <c r="J283" s="315">
        <f t="shared" ref="J283" si="796">SUM(J282+K282)</f>
        <v>0</v>
      </c>
      <c r="K283" s="316"/>
      <c r="L283" s="315">
        <f t="shared" ref="L283" si="797">SUM(L282+M282)</f>
        <v>0</v>
      </c>
      <c r="M283" s="316"/>
      <c r="N283" s="315">
        <f t="shared" ref="N283" si="798">SUM(N282+O282)</f>
        <v>0</v>
      </c>
      <c r="O283" s="316"/>
      <c r="P283" s="315">
        <f t="shared" ref="P283" si="799">SUM(P282+Q282)</f>
        <v>0</v>
      </c>
      <c r="Q283" s="316"/>
      <c r="R283" s="315">
        <f t="shared" ref="R283" si="800">SUM(R282+S282)</f>
        <v>0</v>
      </c>
      <c r="S283" s="316"/>
      <c r="T283" s="315">
        <f t="shared" ref="T283" si="801">SUM(T282+U282)</f>
        <v>0</v>
      </c>
      <c r="U283" s="316"/>
      <c r="V283" s="315">
        <f t="shared" ref="V283" si="802">SUM(V282+W282)</f>
        <v>0</v>
      </c>
      <c r="W283" s="316"/>
      <c r="X283" s="315">
        <f t="shared" ref="X283" si="803">SUM(X282+Y282)</f>
        <v>0</v>
      </c>
      <c r="Y283" s="316"/>
      <c r="Z283" s="78"/>
      <c r="AA283" s="79"/>
    </row>
    <row r="284" spans="1:27" ht="18" customHeight="1">
      <c r="A284" s="326" t="s">
        <v>104</v>
      </c>
      <c r="B284" s="323" t="s">
        <v>38</v>
      </c>
      <c r="C284" s="324"/>
      <c r="D284" s="319" t="s">
        <v>38</v>
      </c>
      <c r="E284" s="320"/>
      <c r="F284" s="323" t="s">
        <v>38</v>
      </c>
      <c r="G284" s="324"/>
      <c r="H284" s="319" t="s">
        <v>38</v>
      </c>
      <c r="I284" s="320"/>
      <c r="J284" s="323" t="s">
        <v>38</v>
      </c>
      <c r="K284" s="324"/>
      <c r="L284" s="319" t="s">
        <v>38</v>
      </c>
      <c r="M284" s="320"/>
      <c r="N284" s="323" t="s">
        <v>38</v>
      </c>
      <c r="O284" s="324"/>
      <c r="P284" s="319" t="s">
        <v>38</v>
      </c>
      <c r="Q284" s="320"/>
      <c r="R284" s="323" t="s">
        <v>38</v>
      </c>
      <c r="S284" s="324"/>
      <c r="T284" s="319" t="s">
        <v>38</v>
      </c>
      <c r="U284" s="320"/>
      <c r="V284" s="319" t="s">
        <v>38</v>
      </c>
      <c r="W284" s="320"/>
      <c r="X284" s="319" t="s">
        <v>38</v>
      </c>
      <c r="Y284" s="320"/>
      <c r="Z284" s="54" t="s">
        <v>11</v>
      </c>
      <c r="AA284" s="52" t="s">
        <v>13</v>
      </c>
    </row>
    <row r="285" spans="1:27" ht="18" customHeight="1" thickBot="1">
      <c r="A285" s="327"/>
      <c r="B285" s="56" t="s">
        <v>2</v>
      </c>
      <c r="C285" s="57" t="s">
        <v>3</v>
      </c>
      <c r="D285" s="58" t="s">
        <v>2</v>
      </c>
      <c r="E285" s="59" t="s">
        <v>3</v>
      </c>
      <c r="F285" s="56" t="s">
        <v>2</v>
      </c>
      <c r="G285" s="57" t="s">
        <v>3</v>
      </c>
      <c r="H285" s="58" t="s">
        <v>2</v>
      </c>
      <c r="I285" s="59" t="s">
        <v>3</v>
      </c>
      <c r="J285" s="56" t="s">
        <v>2</v>
      </c>
      <c r="K285" s="57" t="s">
        <v>3</v>
      </c>
      <c r="L285" s="58" t="s">
        <v>2</v>
      </c>
      <c r="M285" s="59" t="s">
        <v>3</v>
      </c>
      <c r="N285" s="56" t="s">
        <v>2</v>
      </c>
      <c r="O285" s="57" t="s">
        <v>3</v>
      </c>
      <c r="P285" s="58" t="s">
        <v>2</v>
      </c>
      <c r="Q285" s="59" t="s">
        <v>3</v>
      </c>
      <c r="R285" s="56" t="s">
        <v>2</v>
      </c>
      <c r="S285" s="57" t="s">
        <v>3</v>
      </c>
      <c r="T285" s="58" t="s">
        <v>2</v>
      </c>
      <c r="U285" s="59" t="s">
        <v>3</v>
      </c>
      <c r="V285" s="58" t="s">
        <v>2</v>
      </c>
      <c r="W285" s="59" t="s">
        <v>3</v>
      </c>
      <c r="X285" s="58" t="s">
        <v>2</v>
      </c>
      <c r="Y285" s="59" t="s">
        <v>3</v>
      </c>
      <c r="Z285" s="53"/>
      <c r="AA285" s="51"/>
    </row>
    <row r="286" spans="1:27" ht="18" customHeight="1">
      <c r="A286" s="75" t="s">
        <v>4</v>
      </c>
      <c r="B286" s="65"/>
      <c r="C286" s="65"/>
      <c r="D286" s="64"/>
      <c r="E286" s="65"/>
      <c r="F286" s="64"/>
      <c r="G286" s="65"/>
      <c r="H286" s="64"/>
      <c r="I286" s="65"/>
      <c r="J286" s="64"/>
      <c r="K286" s="65"/>
      <c r="L286" s="64"/>
      <c r="M286" s="65"/>
      <c r="N286" s="64"/>
      <c r="O286" s="65"/>
      <c r="P286" s="64"/>
      <c r="Q286" s="65"/>
      <c r="R286" s="64"/>
      <c r="S286" s="65"/>
      <c r="T286" s="64"/>
      <c r="U286" s="65"/>
      <c r="V286" s="64"/>
      <c r="W286" s="65"/>
      <c r="X286" s="64"/>
      <c r="Y286" s="65"/>
      <c r="Z286" s="7">
        <f>SUM(B286:Y286)</f>
        <v>0</v>
      </c>
      <c r="AA286" s="10"/>
    </row>
    <row r="287" spans="1:27" ht="18" customHeight="1" thickBot="1">
      <c r="A287" s="76" t="s">
        <v>37</v>
      </c>
      <c r="B287" s="67"/>
      <c r="C287" s="67"/>
      <c r="D287" s="66"/>
      <c r="E287" s="67"/>
      <c r="F287" s="66"/>
      <c r="G287" s="67"/>
      <c r="H287" s="66"/>
      <c r="I287" s="67"/>
      <c r="J287" s="66"/>
      <c r="K287" s="67"/>
      <c r="L287" s="66"/>
      <c r="M287" s="67"/>
      <c r="N287" s="66"/>
      <c r="O287" s="67"/>
      <c r="P287" s="66"/>
      <c r="Q287" s="67"/>
      <c r="R287" s="66"/>
      <c r="S287" s="67"/>
      <c r="T287" s="66"/>
      <c r="U287" s="67"/>
      <c r="V287" s="66"/>
      <c r="W287" s="67"/>
      <c r="X287" s="66"/>
      <c r="Y287" s="67"/>
      <c r="Z287" s="11">
        <f>SUM(B287:Y287)</f>
        <v>0</v>
      </c>
      <c r="AA287" s="9">
        <f>SUM(Z286:Z287)</f>
        <v>0</v>
      </c>
    </row>
    <row r="288" spans="1:27" ht="18" customHeight="1">
      <c r="A288" s="77" t="s">
        <v>34</v>
      </c>
      <c r="B288" s="73"/>
      <c r="C288" s="64"/>
      <c r="D288" s="64"/>
      <c r="E288" s="65"/>
      <c r="F288" s="64"/>
      <c r="G288" s="65"/>
      <c r="H288" s="64"/>
      <c r="I288" s="65"/>
      <c r="J288" s="64"/>
      <c r="K288" s="65"/>
      <c r="L288" s="64"/>
      <c r="M288" s="65"/>
      <c r="N288" s="64"/>
      <c r="O288" s="65"/>
      <c r="P288" s="64"/>
      <c r="Q288" s="65"/>
      <c r="R288" s="64"/>
      <c r="S288" s="65"/>
      <c r="T288" s="64"/>
      <c r="U288" s="65"/>
      <c r="V288" s="64"/>
      <c r="W288" s="65"/>
      <c r="X288" s="64"/>
      <c r="Y288" s="65"/>
      <c r="Z288" s="13">
        <f>SUM(B288:Y288)</f>
        <v>0</v>
      </c>
      <c r="AA288" s="5"/>
    </row>
    <row r="289" spans="1:27" ht="18" customHeight="1" thickBot="1">
      <c r="A289" s="28" t="s">
        <v>0</v>
      </c>
      <c r="B289" s="74"/>
      <c r="C289" s="66"/>
      <c r="D289" s="66"/>
      <c r="E289" s="67"/>
      <c r="F289" s="66"/>
      <c r="G289" s="67"/>
      <c r="H289" s="66"/>
      <c r="I289" s="67"/>
      <c r="J289" s="66"/>
      <c r="K289" s="67"/>
      <c r="L289" s="66"/>
      <c r="M289" s="67"/>
      <c r="N289" s="66"/>
      <c r="O289" s="67"/>
      <c r="P289" s="66"/>
      <c r="Q289" s="67"/>
      <c r="R289" s="66"/>
      <c r="S289" s="67"/>
      <c r="T289" s="66"/>
      <c r="U289" s="67"/>
      <c r="V289" s="66"/>
      <c r="W289" s="67"/>
      <c r="X289" s="66"/>
      <c r="Y289" s="67"/>
      <c r="Z289" s="8">
        <f>SUM(B289:Y289)</f>
        <v>0</v>
      </c>
      <c r="AA289" s="18"/>
    </row>
    <row r="290" spans="1:27" ht="18" customHeight="1">
      <c r="A290" s="28" t="s">
        <v>35</v>
      </c>
      <c r="B290" s="7">
        <v>0</v>
      </c>
      <c r="C290" s="7">
        <v>0</v>
      </c>
      <c r="D290" s="7">
        <v>0</v>
      </c>
      <c r="E290" s="7">
        <v>0</v>
      </c>
      <c r="F290" s="7">
        <f>SUM(B288-B289)</f>
        <v>0</v>
      </c>
      <c r="G290" s="7">
        <f t="shared" ref="G290" si="804">SUM(C288-C289)</f>
        <v>0</v>
      </c>
      <c r="H290" s="7">
        <f t="shared" ref="H290" si="805">SUM(D288-D289)</f>
        <v>0</v>
      </c>
      <c r="I290" s="7">
        <f t="shared" ref="I290" si="806">SUM(E288-E289)</f>
        <v>0</v>
      </c>
      <c r="J290" s="7">
        <f t="shared" ref="J290" si="807">SUM(F288-F289)</f>
        <v>0</v>
      </c>
      <c r="K290" s="7">
        <f t="shared" ref="K290" si="808">SUM(G288-G289)</f>
        <v>0</v>
      </c>
      <c r="L290" s="7">
        <f t="shared" ref="L290" si="809">SUM(H288-H289)</f>
        <v>0</v>
      </c>
      <c r="M290" s="7">
        <f t="shared" ref="M290" si="810">SUM(I288-I289)</f>
        <v>0</v>
      </c>
      <c r="N290" s="7">
        <f t="shared" ref="N290" si="811">SUM(J288-J289)</f>
        <v>0</v>
      </c>
      <c r="O290" s="7">
        <f t="shared" ref="O290" si="812">SUM(K288-K289)</f>
        <v>0</v>
      </c>
      <c r="P290" s="7">
        <f t="shared" ref="P290" si="813">SUM(L288-L289)</f>
        <v>0</v>
      </c>
      <c r="Q290" s="7">
        <f t="shared" ref="Q290" si="814">SUM(M288-M289)</f>
        <v>0</v>
      </c>
      <c r="R290" s="7">
        <f t="shared" ref="R290" si="815">SUM(N288-N289)</f>
        <v>0</v>
      </c>
      <c r="S290" s="7">
        <f t="shared" ref="S290" si="816">SUM(O288-O289)</f>
        <v>0</v>
      </c>
      <c r="T290" s="7">
        <f t="shared" ref="T290" si="817">SUM(P288-P289)</f>
        <v>0</v>
      </c>
      <c r="U290" s="7">
        <f t="shared" ref="U290" si="818">SUM(Q288-Q289)</f>
        <v>0</v>
      </c>
      <c r="V290" s="7">
        <f t="shared" ref="V290" si="819">SUM(R288-R289)</f>
        <v>0</v>
      </c>
      <c r="W290" s="7">
        <f t="shared" ref="W290" si="820">SUM(S288-S289)</f>
        <v>0</v>
      </c>
      <c r="X290" s="7">
        <f t="shared" ref="X290" si="821">SUM(T288-T289)</f>
        <v>0</v>
      </c>
      <c r="Y290" s="7">
        <f t="shared" ref="Y290" si="822">SUM(U288-U289)</f>
        <v>0</v>
      </c>
      <c r="Z290" s="8">
        <f>SUM(B290:Y290)</f>
        <v>0</v>
      </c>
      <c r="AA290" s="18">
        <f>SUM(Z289:Z290)</f>
        <v>0</v>
      </c>
    </row>
    <row r="291" spans="1:27" ht="17.25" customHeight="1" thickBot="1">
      <c r="A291" s="29" t="s">
        <v>39</v>
      </c>
      <c r="B291" s="325">
        <f>SUM(B290+C290)</f>
        <v>0</v>
      </c>
      <c r="C291" s="316"/>
      <c r="D291" s="315">
        <f t="shared" ref="D291" si="823">SUM(D290+E290)</f>
        <v>0</v>
      </c>
      <c r="E291" s="316"/>
      <c r="F291" s="315">
        <f t="shared" ref="F291" si="824">SUM(F290+G290)</f>
        <v>0</v>
      </c>
      <c r="G291" s="316"/>
      <c r="H291" s="315">
        <f t="shared" ref="H291" si="825">SUM(H290+I290)</f>
        <v>0</v>
      </c>
      <c r="I291" s="316"/>
      <c r="J291" s="315">
        <f t="shared" ref="J291" si="826">SUM(J290+K290)</f>
        <v>0</v>
      </c>
      <c r="K291" s="316"/>
      <c r="L291" s="315">
        <f t="shared" ref="L291" si="827">SUM(L290+M290)</f>
        <v>0</v>
      </c>
      <c r="M291" s="316"/>
      <c r="N291" s="315">
        <f t="shared" ref="N291" si="828">SUM(N290+O290)</f>
        <v>0</v>
      </c>
      <c r="O291" s="316"/>
      <c r="P291" s="315">
        <f t="shared" ref="P291" si="829">SUM(P290+Q290)</f>
        <v>0</v>
      </c>
      <c r="Q291" s="316"/>
      <c r="R291" s="315">
        <f t="shared" ref="R291" si="830">SUM(R290+S290)</f>
        <v>0</v>
      </c>
      <c r="S291" s="316"/>
      <c r="T291" s="315">
        <f t="shared" ref="T291" si="831">SUM(T290+U290)</f>
        <v>0</v>
      </c>
      <c r="U291" s="316"/>
      <c r="V291" s="315">
        <f t="shared" ref="V291" si="832">SUM(V290+W290)</f>
        <v>0</v>
      </c>
      <c r="W291" s="316"/>
      <c r="X291" s="315">
        <f t="shared" ref="X291" si="833">SUM(X290+Y290)</f>
        <v>0</v>
      </c>
      <c r="Y291" s="316"/>
      <c r="Z291" s="78"/>
      <c r="AA291" s="79"/>
    </row>
    <row r="292" spans="1:27" ht="18" customHeight="1">
      <c r="A292" s="326" t="s">
        <v>103</v>
      </c>
      <c r="B292" s="323" t="s">
        <v>38</v>
      </c>
      <c r="C292" s="324"/>
      <c r="D292" s="319" t="s">
        <v>38</v>
      </c>
      <c r="E292" s="320"/>
      <c r="F292" s="323" t="s">
        <v>38</v>
      </c>
      <c r="G292" s="324"/>
      <c r="H292" s="319" t="s">
        <v>38</v>
      </c>
      <c r="I292" s="320"/>
      <c r="J292" s="323" t="s">
        <v>38</v>
      </c>
      <c r="K292" s="324"/>
      <c r="L292" s="319" t="s">
        <v>38</v>
      </c>
      <c r="M292" s="320"/>
      <c r="N292" s="323" t="s">
        <v>38</v>
      </c>
      <c r="O292" s="324"/>
      <c r="P292" s="319" t="s">
        <v>38</v>
      </c>
      <c r="Q292" s="320"/>
      <c r="R292" s="323" t="s">
        <v>38</v>
      </c>
      <c r="S292" s="324"/>
      <c r="T292" s="319" t="s">
        <v>38</v>
      </c>
      <c r="U292" s="320"/>
      <c r="V292" s="319" t="s">
        <v>38</v>
      </c>
      <c r="W292" s="320"/>
      <c r="X292" s="319" t="s">
        <v>38</v>
      </c>
      <c r="Y292" s="320"/>
      <c r="Z292" s="54" t="s">
        <v>11</v>
      </c>
      <c r="AA292" s="52" t="s">
        <v>13</v>
      </c>
    </row>
    <row r="293" spans="1:27" ht="18" customHeight="1" thickBot="1">
      <c r="A293" s="327"/>
      <c r="B293" s="56" t="s">
        <v>2</v>
      </c>
      <c r="C293" s="57" t="s">
        <v>3</v>
      </c>
      <c r="D293" s="58" t="s">
        <v>2</v>
      </c>
      <c r="E293" s="59" t="s">
        <v>3</v>
      </c>
      <c r="F293" s="56" t="s">
        <v>2</v>
      </c>
      <c r="G293" s="57" t="s">
        <v>3</v>
      </c>
      <c r="H293" s="58" t="s">
        <v>2</v>
      </c>
      <c r="I293" s="59" t="s">
        <v>3</v>
      </c>
      <c r="J293" s="56" t="s">
        <v>2</v>
      </c>
      <c r="K293" s="57" t="s">
        <v>3</v>
      </c>
      <c r="L293" s="58" t="s">
        <v>2</v>
      </c>
      <c r="M293" s="59" t="s">
        <v>3</v>
      </c>
      <c r="N293" s="56" t="s">
        <v>2</v>
      </c>
      <c r="O293" s="57" t="s">
        <v>3</v>
      </c>
      <c r="P293" s="58" t="s">
        <v>2</v>
      </c>
      <c r="Q293" s="59" t="s">
        <v>3</v>
      </c>
      <c r="R293" s="56" t="s">
        <v>2</v>
      </c>
      <c r="S293" s="57" t="s">
        <v>3</v>
      </c>
      <c r="T293" s="58" t="s">
        <v>2</v>
      </c>
      <c r="U293" s="59" t="s">
        <v>3</v>
      </c>
      <c r="V293" s="58" t="s">
        <v>2</v>
      </c>
      <c r="W293" s="59" t="s">
        <v>3</v>
      </c>
      <c r="X293" s="58" t="s">
        <v>2</v>
      </c>
      <c r="Y293" s="59" t="s">
        <v>3</v>
      </c>
      <c r="Z293" s="53"/>
      <c r="AA293" s="51"/>
    </row>
    <row r="294" spans="1:27" ht="18" customHeight="1">
      <c r="A294" s="75" t="s">
        <v>4</v>
      </c>
      <c r="B294" s="65"/>
      <c r="C294" s="65"/>
      <c r="D294" s="64"/>
      <c r="E294" s="65"/>
      <c r="F294" s="64"/>
      <c r="G294" s="65"/>
      <c r="H294" s="64"/>
      <c r="I294" s="65"/>
      <c r="J294" s="64"/>
      <c r="K294" s="65"/>
      <c r="L294" s="64"/>
      <c r="M294" s="65"/>
      <c r="N294" s="64"/>
      <c r="O294" s="65"/>
      <c r="P294" s="64"/>
      <c r="Q294" s="65"/>
      <c r="R294" s="64"/>
      <c r="S294" s="65"/>
      <c r="T294" s="64"/>
      <c r="U294" s="65"/>
      <c r="V294" s="64"/>
      <c r="W294" s="65"/>
      <c r="X294" s="64"/>
      <c r="Y294" s="65"/>
      <c r="Z294" s="7">
        <f>SUM(B294:Y294)</f>
        <v>0</v>
      </c>
      <c r="AA294" s="10"/>
    </row>
    <row r="295" spans="1:27" ht="18" customHeight="1" thickBot="1">
      <c r="A295" s="76" t="s">
        <v>37</v>
      </c>
      <c r="B295" s="67"/>
      <c r="C295" s="67"/>
      <c r="D295" s="66"/>
      <c r="E295" s="67"/>
      <c r="F295" s="66"/>
      <c r="G295" s="67"/>
      <c r="H295" s="66"/>
      <c r="I295" s="67"/>
      <c r="J295" s="66"/>
      <c r="K295" s="67"/>
      <c r="L295" s="66"/>
      <c r="M295" s="67"/>
      <c r="N295" s="66"/>
      <c r="O295" s="67"/>
      <c r="P295" s="66"/>
      <c r="Q295" s="67"/>
      <c r="R295" s="66"/>
      <c r="S295" s="67"/>
      <c r="T295" s="66"/>
      <c r="U295" s="67"/>
      <c r="V295" s="66"/>
      <c r="W295" s="67"/>
      <c r="X295" s="66"/>
      <c r="Y295" s="67"/>
      <c r="Z295" s="11">
        <f>SUM(B295:Y295)</f>
        <v>0</v>
      </c>
      <c r="AA295" s="9">
        <f>SUM(Z294:Z295)</f>
        <v>0</v>
      </c>
    </row>
    <row r="296" spans="1:27" ht="18" customHeight="1">
      <c r="A296" s="77" t="s">
        <v>34</v>
      </c>
      <c r="B296" s="73"/>
      <c r="C296" s="64"/>
      <c r="D296" s="64"/>
      <c r="E296" s="65"/>
      <c r="F296" s="64"/>
      <c r="G296" s="65"/>
      <c r="H296" s="64"/>
      <c r="I296" s="65"/>
      <c r="J296" s="64"/>
      <c r="K296" s="65"/>
      <c r="L296" s="64"/>
      <c r="M296" s="65"/>
      <c r="N296" s="64"/>
      <c r="O296" s="65"/>
      <c r="P296" s="64"/>
      <c r="Q296" s="65"/>
      <c r="R296" s="64"/>
      <c r="S296" s="65"/>
      <c r="T296" s="64"/>
      <c r="U296" s="65"/>
      <c r="V296" s="64"/>
      <c r="W296" s="65"/>
      <c r="X296" s="64"/>
      <c r="Y296" s="65"/>
      <c r="Z296" s="13">
        <f>SUM(B296:Y296)</f>
        <v>0</v>
      </c>
      <c r="AA296" s="5"/>
    </row>
    <row r="297" spans="1:27" ht="18" customHeight="1" thickBot="1">
      <c r="A297" s="28" t="s">
        <v>0</v>
      </c>
      <c r="B297" s="74"/>
      <c r="C297" s="66"/>
      <c r="D297" s="66"/>
      <c r="E297" s="67"/>
      <c r="F297" s="66"/>
      <c r="G297" s="67"/>
      <c r="H297" s="66"/>
      <c r="I297" s="67"/>
      <c r="J297" s="66"/>
      <c r="K297" s="67"/>
      <c r="L297" s="66"/>
      <c r="M297" s="67"/>
      <c r="N297" s="66"/>
      <c r="O297" s="67"/>
      <c r="P297" s="66"/>
      <c r="Q297" s="67"/>
      <c r="R297" s="66"/>
      <c r="S297" s="67"/>
      <c r="T297" s="66"/>
      <c r="U297" s="67"/>
      <c r="V297" s="66"/>
      <c r="W297" s="67"/>
      <c r="X297" s="66"/>
      <c r="Y297" s="67"/>
      <c r="Z297" s="8">
        <f>SUM(B297:Y297)</f>
        <v>0</v>
      </c>
      <c r="AA297" s="18"/>
    </row>
    <row r="298" spans="1:27" ht="18" customHeight="1">
      <c r="A298" s="28" t="s">
        <v>35</v>
      </c>
      <c r="B298" s="7">
        <v>0</v>
      </c>
      <c r="C298" s="7">
        <v>0</v>
      </c>
      <c r="D298" s="7">
        <v>0</v>
      </c>
      <c r="E298" s="7">
        <v>0</v>
      </c>
      <c r="F298" s="7">
        <f>SUM(B296-B297)</f>
        <v>0</v>
      </c>
      <c r="G298" s="7">
        <f t="shared" ref="G298" si="834">SUM(C296-C297)</f>
        <v>0</v>
      </c>
      <c r="H298" s="7">
        <f t="shared" ref="H298" si="835">SUM(D296-D297)</f>
        <v>0</v>
      </c>
      <c r="I298" s="7">
        <f t="shared" ref="I298" si="836">SUM(E296-E297)</f>
        <v>0</v>
      </c>
      <c r="J298" s="7">
        <f t="shared" ref="J298" si="837">SUM(F296-F297)</f>
        <v>0</v>
      </c>
      <c r="K298" s="7">
        <f t="shared" ref="K298" si="838">SUM(G296-G297)</f>
        <v>0</v>
      </c>
      <c r="L298" s="7">
        <f t="shared" ref="L298" si="839">SUM(H296-H297)</f>
        <v>0</v>
      </c>
      <c r="M298" s="7">
        <f t="shared" ref="M298" si="840">SUM(I296-I297)</f>
        <v>0</v>
      </c>
      <c r="N298" s="7">
        <f t="shared" ref="N298" si="841">SUM(J296-J297)</f>
        <v>0</v>
      </c>
      <c r="O298" s="7">
        <f t="shared" ref="O298" si="842">SUM(K296-K297)</f>
        <v>0</v>
      </c>
      <c r="P298" s="7">
        <f t="shared" ref="P298" si="843">SUM(L296-L297)</f>
        <v>0</v>
      </c>
      <c r="Q298" s="7">
        <f t="shared" ref="Q298" si="844">SUM(M296-M297)</f>
        <v>0</v>
      </c>
      <c r="R298" s="7">
        <f t="shared" ref="R298" si="845">SUM(N296-N297)</f>
        <v>0</v>
      </c>
      <c r="S298" s="7">
        <f t="shared" ref="S298" si="846">SUM(O296-O297)</f>
        <v>0</v>
      </c>
      <c r="T298" s="7">
        <f t="shared" ref="T298" si="847">SUM(P296-P297)</f>
        <v>0</v>
      </c>
      <c r="U298" s="7">
        <f t="shared" ref="U298" si="848">SUM(Q296-Q297)</f>
        <v>0</v>
      </c>
      <c r="V298" s="7">
        <f t="shared" ref="V298" si="849">SUM(R296-R297)</f>
        <v>0</v>
      </c>
      <c r="W298" s="7">
        <f t="shared" ref="W298" si="850">SUM(S296-S297)</f>
        <v>0</v>
      </c>
      <c r="X298" s="7">
        <f t="shared" ref="X298" si="851">SUM(T296-T297)</f>
        <v>0</v>
      </c>
      <c r="Y298" s="7">
        <f t="shared" ref="Y298" si="852">SUM(U296-U297)</f>
        <v>0</v>
      </c>
      <c r="Z298" s="8">
        <f>SUM(B298:Y298)</f>
        <v>0</v>
      </c>
      <c r="AA298" s="18">
        <f>SUM(Z297:Z298)</f>
        <v>0</v>
      </c>
    </row>
    <row r="299" spans="1:27" ht="17.25" customHeight="1" thickBot="1">
      <c r="A299" s="29" t="s">
        <v>39</v>
      </c>
      <c r="B299" s="325">
        <f>SUM(B298+C298)</f>
        <v>0</v>
      </c>
      <c r="C299" s="316"/>
      <c r="D299" s="315">
        <f t="shared" ref="D299" si="853">SUM(D298+E298)</f>
        <v>0</v>
      </c>
      <c r="E299" s="316"/>
      <c r="F299" s="315">
        <f t="shared" ref="F299" si="854">SUM(F298+G298)</f>
        <v>0</v>
      </c>
      <c r="G299" s="316"/>
      <c r="H299" s="315">
        <f t="shared" ref="H299" si="855">SUM(H298+I298)</f>
        <v>0</v>
      </c>
      <c r="I299" s="316"/>
      <c r="J299" s="315">
        <f t="shared" ref="J299" si="856">SUM(J298+K298)</f>
        <v>0</v>
      </c>
      <c r="K299" s="316"/>
      <c r="L299" s="315">
        <f t="shared" ref="L299" si="857">SUM(L298+M298)</f>
        <v>0</v>
      </c>
      <c r="M299" s="316"/>
      <c r="N299" s="315">
        <f t="shared" ref="N299" si="858">SUM(N298+O298)</f>
        <v>0</v>
      </c>
      <c r="O299" s="316"/>
      <c r="P299" s="315">
        <f t="shared" ref="P299" si="859">SUM(P298+Q298)</f>
        <v>0</v>
      </c>
      <c r="Q299" s="316"/>
      <c r="R299" s="315">
        <f t="shared" ref="R299" si="860">SUM(R298+S298)</f>
        <v>0</v>
      </c>
      <c r="S299" s="316"/>
      <c r="T299" s="315">
        <f t="shared" ref="T299" si="861">SUM(T298+U298)</f>
        <v>0</v>
      </c>
      <c r="U299" s="316"/>
      <c r="V299" s="315">
        <f t="shared" ref="V299" si="862">SUM(V298+W298)</f>
        <v>0</v>
      </c>
      <c r="W299" s="316"/>
      <c r="X299" s="315">
        <f t="shared" ref="X299" si="863">SUM(X298+Y298)</f>
        <v>0</v>
      </c>
      <c r="Y299" s="316"/>
      <c r="Z299" s="78"/>
      <c r="AA299" s="79"/>
    </row>
    <row r="300" spans="1:27" ht="18" customHeight="1">
      <c r="A300" s="326" t="s">
        <v>105</v>
      </c>
      <c r="B300" s="323" t="s">
        <v>38</v>
      </c>
      <c r="C300" s="324"/>
      <c r="D300" s="319" t="s">
        <v>38</v>
      </c>
      <c r="E300" s="320"/>
      <c r="F300" s="323" t="s">
        <v>38</v>
      </c>
      <c r="G300" s="324"/>
      <c r="H300" s="319" t="s">
        <v>38</v>
      </c>
      <c r="I300" s="320"/>
      <c r="J300" s="323" t="s">
        <v>38</v>
      </c>
      <c r="K300" s="324"/>
      <c r="L300" s="319" t="s">
        <v>38</v>
      </c>
      <c r="M300" s="320"/>
      <c r="N300" s="323" t="s">
        <v>38</v>
      </c>
      <c r="O300" s="324"/>
      <c r="P300" s="319" t="s">
        <v>38</v>
      </c>
      <c r="Q300" s="320"/>
      <c r="R300" s="323" t="s">
        <v>38</v>
      </c>
      <c r="S300" s="324"/>
      <c r="T300" s="319" t="s">
        <v>38</v>
      </c>
      <c r="U300" s="320"/>
      <c r="V300" s="319" t="s">
        <v>38</v>
      </c>
      <c r="W300" s="320"/>
      <c r="X300" s="319" t="s">
        <v>38</v>
      </c>
      <c r="Y300" s="320"/>
      <c r="Z300" s="54" t="s">
        <v>11</v>
      </c>
      <c r="AA300" s="52" t="s">
        <v>13</v>
      </c>
    </row>
    <row r="301" spans="1:27" ht="18" customHeight="1" thickBot="1">
      <c r="A301" s="327"/>
      <c r="B301" s="56" t="s">
        <v>2</v>
      </c>
      <c r="C301" s="57" t="s">
        <v>3</v>
      </c>
      <c r="D301" s="58" t="s">
        <v>2</v>
      </c>
      <c r="E301" s="59" t="s">
        <v>3</v>
      </c>
      <c r="F301" s="56" t="s">
        <v>2</v>
      </c>
      <c r="G301" s="57" t="s">
        <v>3</v>
      </c>
      <c r="H301" s="58" t="s">
        <v>2</v>
      </c>
      <c r="I301" s="59" t="s">
        <v>3</v>
      </c>
      <c r="J301" s="56" t="s">
        <v>2</v>
      </c>
      <c r="K301" s="57" t="s">
        <v>3</v>
      </c>
      <c r="L301" s="58" t="s">
        <v>2</v>
      </c>
      <c r="M301" s="59" t="s">
        <v>3</v>
      </c>
      <c r="N301" s="56" t="s">
        <v>2</v>
      </c>
      <c r="O301" s="57" t="s">
        <v>3</v>
      </c>
      <c r="P301" s="58" t="s">
        <v>2</v>
      </c>
      <c r="Q301" s="59" t="s">
        <v>3</v>
      </c>
      <c r="R301" s="56" t="s">
        <v>2</v>
      </c>
      <c r="S301" s="57" t="s">
        <v>3</v>
      </c>
      <c r="T301" s="58" t="s">
        <v>2</v>
      </c>
      <c r="U301" s="59" t="s">
        <v>3</v>
      </c>
      <c r="V301" s="58" t="s">
        <v>2</v>
      </c>
      <c r="W301" s="59" t="s">
        <v>3</v>
      </c>
      <c r="X301" s="58" t="s">
        <v>2</v>
      </c>
      <c r="Y301" s="59" t="s">
        <v>3</v>
      </c>
      <c r="Z301" s="53"/>
      <c r="AA301" s="51"/>
    </row>
    <row r="302" spans="1:27" ht="18" customHeight="1">
      <c r="A302" s="75" t="s">
        <v>4</v>
      </c>
      <c r="B302" s="65"/>
      <c r="C302" s="65"/>
      <c r="D302" s="64"/>
      <c r="E302" s="65"/>
      <c r="F302" s="64"/>
      <c r="G302" s="65"/>
      <c r="H302" s="64"/>
      <c r="I302" s="65"/>
      <c r="J302" s="64"/>
      <c r="K302" s="65"/>
      <c r="L302" s="64"/>
      <c r="M302" s="65"/>
      <c r="N302" s="64"/>
      <c r="O302" s="65"/>
      <c r="P302" s="64"/>
      <c r="Q302" s="65"/>
      <c r="R302" s="64"/>
      <c r="S302" s="65"/>
      <c r="T302" s="64"/>
      <c r="U302" s="65"/>
      <c r="V302" s="64"/>
      <c r="W302" s="65"/>
      <c r="X302" s="64"/>
      <c r="Y302" s="65"/>
      <c r="Z302" s="7">
        <f>SUM(B302:Y302)</f>
        <v>0</v>
      </c>
      <c r="AA302" s="10"/>
    </row>
    <row r="303" spans="1:27" ht="18" customHeight="1" thickBot="1">
      <c r="A303" s="76" t="s">
        <v>37</v>
      </c>
      <c r="B303" s="67"/>
      <c r="C303" s="67"/>
      <c r="D303" s="66"/>
      <c r="E303" s="67"/>
      <c r="F303" s="66"/>
      <c r="G303" s="67"/>
      <c r="H303" s="66"/>
      <c r="I303" s="67"/>
      <c r="J303" s="66"/>
      <c r="K303" s="67"/>
      <c r="L303" s="66"/>
      <c r="M303" s="67"/>
      <c r="N303" s="66"/>
      <c r="O303" s="67"/>
      <c r="P303" s="66"/>
      <c r="Q303" s="67"/>
      <c r="R303" s="66"/>
      <c r="S303" s="67"/>
      <c r="T303" s="66"/>
      <c r="U303" s="67"/>
      <c r="V303" s="66"/>
      <c r="W303" s="67"/>
      <c r="X303" s="66"/>
      <c r="Y303" s="67"/>
      <c r="Z303" s="11">
        <f>SUM(B303:Y303)</f>
        <v>0</v>
      </c>
      <c r="AA303" s="9">
        <f>SUM(Z302:Z303)</f>
        <v>0</v>
      </c>
    </row>
    <row r="304" spans="1:27" ht="18" customHeight="1">
      <c r="A304" s="77" t="s">
        <v>34</v>
      </c>
      <c r="B304" s="73"/>
      <c r="C304" s="64"/>
      <c r="D304" s="64"/>
      <c r="E304" s="65"/>
      <c r="F304" s="64"/>
      <c r="G304" s="65"/>
      <c r="H304" s="64"/>
      <c r="I304" s="65"/>
      <c r="J304" s="64"/>
      <c r="K304" s="65"/>
      <c r="L304" s="64"/>
      <c r="M304" s="65"/>
      <c r="N304" s="64"/>
      <c r="O304" s="65"/>
      <c r="P304" s="64"/>
      <c r="Q304" s="65"/>
      <c r="R304" s="64"/>
      <c r="S304" s="65"/>
      <c r="T304" s="64"/>
      <c r="U304" s="65"/>
      <c r="V304" s="64"/>
      <c r="W304" s="65"/>
      <c r="X304" s="64"/>
      <c r="Y304" s="65"/>
      <c r="Z304" s="13">
        <f>SUM(B304:Y304)</f>
        <v>0</v>
      </c>
      <c r="AA304" s="5"/>
    </row>
    <row r="305" spans="1:27" ht="18" customHeight="1" thickBot="1">
      <c r="A305" s="28" t="s">
        <v>0</v>
      </c>
      <c r="B305" s="74"/>
      <c r="C305" s="66"/>
      <c r="D305" s="66"/>
      <c r="E305" s="67"/>
      <c r="F305" s="66"/>
      <c r="G305" s="67"/>
      <c r="H305" s="66"/>
      <c r="I305" s="67"/>
      <c r="J305" s="66"/>
      <c r="K305" s="67"/>
      <c r="L305" s="66"/>
      <c r="M305" s="67"/>
      <c r="N305" s="66"/>
      <c r="O305" s="67"/>
      <c r="P305" s="66"/>
      <c r="Q305" s="67"/>
      <c r="R305" s="66"/>
      <c r="S305" s="67"/>
      <c r="T305" s="66"/>
      <c r="U305" s="67"/>
      <c r="V305" s="66"/>
      <c r="W305" s="67"/>
      <c r="X305" s="66"/>
      <c r="Y305" s="67"/>
      <c r="Z305" s="8">
        <f>SUM(B305:Y305)</f>
        <v>0</v>
      </c>
      <c r="AA305" s="18"/>
    </row>
    <row r="306" spans="1:27" ht="18" customHeight="1">
      <c r="A306" s="28" t="s">
        <v>35</v>
      </c>
      <c r="B306" s="7">
        <v>0</v>
      </c>
      <c r="C306" s="7">
        <v>0</v>
      </c>
      <c r="D306" s="7">
        <v>0</v>
      </c>
      <c r="E306" s="7">
        <v>0</v>
      </c>
      <c r="F306" s="7">
        <f>SUM(B304-B305)</f>
        <v>0</v>
      </c>
      <c r="G306" s="7">
        <f t="shared" ref="G306" si="864">SUM(C304-C305)</f>
        <v>0</v>
      </c>
      <c r="H306" s="7">
        <f t="shared" ref="H306" si="865">SUM(D304-D305)</f>
        <v>0</v>
      </c>
      <c r="I306" s="7">
        <f t="shared" ref="I306" si="866">SUM(E304-E305)</f>
        <v>0</v>
      </c>
      <c r="J306" s="7">
        <f t="shared" ref="J306" si="867">SUM(F304-F305)</f>
        <v>0</v>
      </c>
      <c r="K306" s="7">
        <f t="shared" ref="K306" si="868">SUM(G304-G305)</f>
        <v>0</v>
      </c>
      <c r="L306" s="7">
        <f t="shared" ref="L306" si="869">SUM(H304-H305)</f>
        <v>0</v>
      </c>
      <c r="M306" s="7">
        <f t="shared" ref="M306" si="870">SUM(I304-I305)</f>
        <v>0</v>
      </c>
      <c r="N306" s="7">
        <f t="shared" ref="N306" si="871">SUM(J304-J305)</f>
        <v>0</v>
      </c>
      <c r="O306" s="7">
        <f t="shared" ref="O306" si="872">SUM(K304-K305)</f>
        <v>0</v>
      </c>
      <c r="P306" s="7">
        <f t="shared" ref="P306" si="873">SUM(L304-L305)</f>
        <v>0</v>
      </c>
      <c r="Q306" s="7">
        <f t="shared" ref="Q306" si="874">SUM(M304-M305)</f>
        <v>0</v>
      </c>
      <c r="R306" s="7">
        <f t="shared" ref="R306" si="875">SUM(N304-N305)</f>
        <v>0</v>
      </c>
      <c r="S306" s="7">
        <f t="shared" ref="S306" si="876">SUM(O304-O305)</f>
        <v>0</v>
      </c>
      <c r="T306" s="7">
        <f t="shared" ref="T306" si="877">SUM(P304-P305)</f>
        <v>0</v>
      </c>
      <c r="U306" s="7">
        <f t="shared" ref="U306" si="878">SUM(Q304-Q305)</f>
        <v>0</v>
      </c>
      <c r="V306" s="7">
        <f t="shared" ref="V306" si="879">SUM(R304-R305)</f>
        <v>0</v>
      </c>
      <c r="W306" s="7">
        <f t="shared" ref="W306" si="880">SUM(S304-S305)</f>
        <v>0</v>
      </c>
      <c r="X306" s="7">
        <f t="shared" ref="X306" si="881">SUM(T304-T305)</f>
        <v>0</v>
      </c>
      <c r="Y306" s="7">
        <f t="shared" ref="Y306" si="882">SUM(U304-U305)</f>
        <v>0</v>
      </c>
      <c r="Z306" s="8">
        <f>SUM(B306:Y306)</f>
        <v>0</v>
      </c>
      <c r="AA306" s="18">
        <f>SUM(Z305:Z306)</f>
        <v>0</v>
      </c>
    </row>
    <row r="307" spans="1:27" ht="17.25" customHeight="1" thickBot="1">
      <c r="A307" s="29" t="s">
        <v>39</v>
      </c>
      <c r="B307" s="325">
        <f>SUM(B306+C306)</f>
        <v>0</v>
      </c>
      <c r="C307" s="316"/>
      <c r="D307" s="315">
        <f t="shared" ref="D307" si="883">SUM(D306+E306)</f>
        <v>0</v>
      </c>
      <c r="E307" s="316"/>
      <c r="F307" s="315">
        <f t="shared" ref="F307" si="884">SUM(F306+G306)</f>
        <v>0</v>
      </c>
      <c r="G307" s="316"/>
      <c r="H307" s="315">
        <f t="shared" ref="H307" si="885">SUM(H306+I306)</f>
        <v>0</v>
      </c>
      <c r="I307" s="316"/>
      <c r="J307" s="315">
        <f t="shared" ref="J307" si="886">SUM(J306+K306)</f>
        <v>0</v>
      </c>
      <c r="K307" s="316"/>
      <c r="L307" s="315">
        <f t="shared" ref="L307" si="887">SUM(L306+M306)</f>
        <v>0</v>
      </c>
      <c r="M307" s="316"/>
      <c r="N307" s="315">
        <f t="shared" ref="N307" si="888">SUM(N306+O306)</f>
        <v>0</v>
      </c>
      <c r="O307" s="316"/>
      <c r="P307" s="315">
        <f t="shared" ref="P307" si="889">SUM(P306+Q306)</f>
        <v>0</v>
      </c>
      <c r="Q307" s="316"/>
      <c r="R307" s="315">
        <f t="shared" ref="R307" si="890">SUM(R306+S306)</f>
        <v>0</v>
      </c>
      <c r="S307" s="316"/>
      <c r="T307" s="315">
        <f t="shared" ref="T307" si="891">SUM(T306+U306)</f>
        <v>0</v>
      </c>
      <c r="U307" s="316"/>
      <c r="V307" s="315">
        <f t="shared" ref="V307" si="892">SUM(V306+W306)</f>
        <v>0</v>
      </c>
      <c r="W307" s="316"/>
      <c r="X307" s="315">
        <f t="shared" ref="X307" si="893">SUM(X306+Y306)</f>
        <v>0</v>
      </c>
      <c r="Y307" s="316"/>
      <c r="Z307" s="78"/>
      <c r="AA307" s="79"/>
    </row>
    <row r="308" spans="1:27" ht="18" customHeight="1">
      <c r="A308" s="326" t="s">
        <v>106</v>
      </c>
      <c r="B308" s="323" t="s">
        <v>38</v>
      </c>
      <c r="C308" s="324"/>
      <c r="D308" s="319" t="s">
        <v>38</v>
      </c>
      <c r="E308" s="320"/>
      <c r="F308" s="323" t="s">
        <v>38</v>
      </c>
      <c r="G308" s="324"/>
      <c r="H308" s="319" t="s">
        <v>38</v>
      </c>
      <c r="I308" s="320"/>
      <c r="J308" s="323" t="s">
        <v>38</v>
      </c>
      <c r="K308" s="324"/>
      <c r="L308" s="319" t="s">
        <v>38</v>
      </c>
      <c r="M308" s="320"/>
      <c r="N308" s="323" t="s">
        <v>38</v>
      </c>
      <c r="O308" s="324"/>
      <c r="P308" s="319" t="s">
        <v>38</v>
      </c>
      <c r="Q308" s="320"/>
      <c r="R308" s="323" t="s">
        <v>38</v>
      </c>
      <c r="S308" s="324"/>
      <c r="T308" s="319" t="s">
        <v>38</v>
      </c>
      <c r="U308" s="320"/>
      <c r="V308" s="319" t="s">
        <v>38</v>
      </c>
      <c r="W308" s="320"/>
      <c r="X308" s="319" t="s">
        <v>38</v>
      </c>
      <c r="Y308" s="320"/>
      <c r="Z308" s="54" t="s">
        <v>11</v>
      </c>
      <c r="AA308" s="52" t="s">
        <v>13</v>
      </c>
    </row>
    <row r="309" spans="1:27" ht="18" customHeight="1" thickBot="1">
      <c r="A309" s="327"/>
      <c r="B309" s="56" t="s">
        <v>2</v>
      </c>
      <c r="C309" s="57" t="s">
        <v>3</v>
      </c>
      <c r="D309" s="58" t="s">
        <v>2</v>
      </c>
      <c r="E309" s="59" t="s">
        <v>3</v>
      </c>
      <c r="F309" s="56" t="s">
        <v>2</v>
      </c>
      <c r="G309" s="57" t="s">
        <v>3</v>
      </c>
      <c r="H309" s="58" t="s">
        <v>2</v>
      </c>
      <c r="I309" s="59" t="s">
        <v>3</v>
      </c>
      <c r="J309" s="56" t="s">
        <v>2</v>
      </c>
      <c r="K309" s="57" t="s">
        <v>3</v>
      </c>
      <c r="L309" s="58" t="s">
        <v>2</v>
      </c>
      <c r="M309" s="59" t="s">
        <v>3</v>
      </c>
      <c r="N309" s="56" t="s">
        <v>2</v>
      </c>
      <c r="O309" s="57" t="s">
        <v>3</v>
      </c>
      <c r="P309" s="58" t="s">
        <v>2</v>
      </c>
      <c r="Q309" s="59" t="s">
        <v>3</v>
      </c>
      <c r="R309" s="56" t="s">
        <v>2</v>
      </c>
      <c r="S309" s="57" t="s">
        <v>3</v>
      </c>
      <c r="T309" s="58" t="s">
        <v>2</v>
      </c>
      <c r="U309" s="59" t="s">
        <v>3</v>
      </c>
      <c r="V309" s="58" t="s">
        <v>2</v>
      </c>
      <c r="W309" s="59" t="s">
        <v>3</v>
      </c>
      <c r="X309" s="58" t="s">
        <v>2</v>
      </c>
      <c r="Y309" s="59" t="s">
        <v>3</v>
      </c>
      <c r="Z309" s="53"/>
      <c r="AA309" s="51"/>
    </row>
    <row r="310" spans="1:27" ht="18" customHeight="1">
      <c r="A310" s="75" t="s">
        <v>4</v>
      </c>
      <c r="B310" s="65"/>
      <c r="C310" s="65"/>
      <c r="D310" s="64"/>
      <c r="E310" s="65"/>
      <c r="F310" s="64"/>
      <c r="G310" s="65"/>
      <c r="H310" s="64"/>
      <c r="I310" s="65"/>
      <c r="J310" s="64"/>
      <c r="K310" s="65"/>
      <c r="L310" s="64"/>
      <c r="M310" s="65"/>
      <c r="N310" s="64"/>
      <c r="O310" s="65"/>
      <c r="P310" s="64"/>
      <c r="Q310" s="65"/>
      <c r="R310" s="64"/>
      <c r="S310" s="65"/>
      <c r="T310" s="64"/>
      <c r="U310" s="65"/>
      <c r="V310" s="64"/>
      <c r="W310" s="65"/>
      <c r="X310" s="64"/>
      <c r="Y310" s="65"/>
      <c r="Z310" s="7">
        <f>SUM(B310:Y310)</f>
        <v>0</v>
      </c>
      <c r="AA310" s="10"/>
    </row>
    <row r="311" spans="1:27" ht="18" customHeight="1" thickBot="1">
      <c r="A311" s="76" t="s">
        <v>37</v>
      </c>
      <c r="B311" s="67"/>
      <c r="C311" s="67"/>
      <c r="D311" s="66"/>
      <c r="E311" s="67"/>
      <c r="F311" s="66"/>
      <c r="G311" s="67"/>
      <c r="H311" s="66"/>
      <c r="I311" s="67"/>
      <c r="J311" s="66"/>
      <c r="K311" s="67"/>
      <c r="L311" s="66"/>
      <c r="M311" s="67"/>
      <c r="N311" s="66"/>
      <c r="O311" s="67"/>
      <c r="P311" s="66"/>
      <c r="Q311" s="67"/>
      <c r="R311" s="66"/>
      <c r="S311" s="67"/>
      <c r="T311" s="66"/>
      <c r="U311" s="67"/>
      <c r="V311" s="66"/>
      <c r="W311" s="67"/>
      <c r="X311" s="66"/>
      <c r="Y311" s="67"/>
      <c r="Z311" s="11">
        <f>SUM(B311:Y311)</f>
        <v>0</v>
      </c>
      <c r="AA311" s="9">
        <f>SUM(Z310:Z311)</f>
        <v>0</v>
      </c>
    </row>
    <row r="312" spans="1:27" ht="18" customHeight="1">
      <c r="A312" s="77" t="s">
        <v>34</v>
      </c>
      <c r="B312" s="73"/>
      <c r="C312" s="64"/>
      <c r="D312" s="64"/>
      <c r="E312" s="65"/>
      <c r="F312" s="64"/>
      <c r="G312" s="65"/>
      <c r="H312" s="64"/>
      <c r="I312" s="65"/>
      <c r="J312" s="64"/>
      <c r="K312" s="65"/>
      <c r="L312" s="64"/>
      <c r="M312" s="65"/>
      <c r="N312" s="64"/>
      <c r="O312" s="65"/>
      <c r="P312" s="64"/>
      <c r="Q312" s="65"/>
      <c r="R312" s="64"/>
      <c r="S312" s="65"/>
      <c r="T312" s="64"/>
      <c r="U312" s="65"/>
      <c r="V312" s="64"/>
      <c r="W312" s="65"/>
      <c r="X312" s="64"/>
      <c r="Y312" s="65"/>
      <c r="Z312" s="13">
        <f>SUM(B312:Y312)</f>
        <v>0</v>
      </c>
      <c r="AA312" s="5"/>
    </row>
    <row r="313" spans="1:27" ht="18" customHeight="1" thickBot="1">
      <c r="A313" s="28" t="s">
        <v>0</v>
      </c>
      <c r="B313" s="74"/>
      <c r="C313" s="66"/>
      <c r="D313" s="66"/>
      <c r="E313" s="67"/>
      <c r="F313" s="66"/>
      <c r="G313" s="67"/>
      <c r="H313" s="66"/>
      <c r="I313" s="67"/>
      <c r="J313" s="66"/>
      <c r="K313" s="67"/>
      <c r="L313" s="66"/>
      <c r="M313" s="67"/>
      <c r="N313" s="66"/>
      <c r="O313" s="67"/>
      <c r="P313" s="66"/>
      <c r="Q313" s="67"/>
      <c r="R313" s="66"/>
      <c r="S313" s="67"/>
      <c r="T313" s="66"/>
      <c r="U313" s="67"/>
      <c r="V313" s="66"/>
      <c r="W313" s="67"/>
      <c r="X313" s="66"/>
      <c r="Y313" s="67"/>
      <c r="Z313" s="8">
        <f>SUM(B313:Y313)</f>
        <v>0</v>
      </c>
      <c r="AA313" s="18"/>
    </row>
    <row r="314" spans="1:27" ht="18" customHeight="1">
      <c r="A314" s="28" t="s">
        <v>35</v>
      </c>
      <c r="B314" s="7">
        <v>0</v>
      </c>
      <c r="C314" s="7">
        <v>0</v>
      </c>
      <c r="D314" s="7">
        <v>0</v>
      </c>
      <c r="E314" s="7">
        <v>0</v>
      </c>
      <c r="F314" s="7">
        <f>SUM(B312-B313)</f>
        <v>0</v>
      </c>
      <c r="G314" s="7">
        <f t="shared" ref="G314" si="894">SUM(C312-C313)</f>
        <v>0</v>
      </c>
      <c r="H314" s="7">
        <f t="shared" ref="H314" si="895">SUM(D312-D313)</f>
        <v>0</v>
      </c>
      <c r="I314" s="7">
        <f t="shared" ref="I314" si="896">SUM(E312-E313)</f>
        <v>0</v>
      </c>
      <c r="J314" s="7">
        <f t="shared" ref="J314" si="897">SUM(F312-F313)</f>
        <v>0</v>
      </c>
      <c r="K314" s="7">
        <f t="shared" ref="K314" si="898">SUM(G312-G313)</f>
        <v>0</v>
      </c>
      <c r="L314" s="7">
        <f t="shared" ref="L314" si="899">SUM(H312-H313)</f>
        <v>0</v>
      </c>
      <c r="M314" s="7">
        <f t="shared" ref="M314" si="900">SUM(I312-I313)</f>
        <v>0</v>
      </c>
      <c r="N314" s="7">
        <f t="shared" ref="N314" si="901">SUM(J312-J313)</f>
        <v>0</v>
      </c>
      <c r="O314" s="7">
        <f t="shared" ref="O314" si="902">SUM(K312-K313)</f>
        <v>0</v>
      </c>
      <c r="P314" s="7">
        <f t="shared" ref="P314" si="903">SUM(L312-L313)</f>
        <v>0</v>
      </c>
      <c r="Q314" s="7">
        <f t="shared" ref="Q314" si="904">SUM(M312-M313)</f>
        <v>0</v>
      </c>
      <c r="R314" s="7">
        <f t="shared" ref="R314" si="905">SUM(N312-N313)</f>
        <v>0</v>
      </c>
      <c r="S314" s="7">
        <f t="shared" ref="S314" si="906">SUM(O312-O313)</f>
        <v>0</v>
      </c>
      <c r="T314" s="7">
        <f t="shared" ref="T314" si="907">SUM(P312-P313)</f>
        <v>0</v>
      </c>
      <c r="U314" s="7">
        <f t="shared" ref="U314" si="908">SUM(Q312-Q313)</f>
        <v>0</v>
      </c>
      <c r="V314" s="7">
        <f t="shared" ref="V314" si="909">SUM(R312-R313)</f>
        <v>0</v>
      </c>
      <c r="W314" s="7">
        <f t="shared" ref="W314" si="910">SUM(S312-S313)</f>
        <v>0</v>
      </c>
      <c r="X314" s="7">
        <f t="shared" ref="X314" si="911">SUM(T312-T313)</f>
        <v>0</v>
      </c>
      <c r="Y314" s="7">
        <f t="shared" ref="Y314" si="912">SUM(U312-U313)</f>
        <v>0</v>
      </c>
      <c r="Z314" s="8">
        <f>SUM(B314:Y314)</f>
        <v>0</v>
      </c>
      <c r="AA314" s="18">
        <f>SUM(Z313:Z314)</f>
        <v>0</v>
      </c>
    </row>
    <row r="315" spans="1:27" ht="17.25" customHeight="1" thickBot="1">
      <c r="A315" s="29" t="s">
        <v>39</v>
      </c>
      <c r="B315" s="325">
        <f>SUM(B314+C314)</f>
        <v>0</v>
      </c>
      <c r="C315" s="316"/>
      <c r="D315" s="315">
        <f t="shared" ref="D315" si="913">SUM(D314+E314)</f>
        <v>0</v>
      </c>
      <c r="E315" s="316"/>
      <c r="F315" s="315">
        <f t="shared" ref="F315" si="914">SUM(F314+G314)</f>
        <v>0</v>
      </c>
      <c r="G315" s="316"/>
      <c r="H315" s="315">
        <f t="shared" ref="H315" si="915">SUM(H314+I314)</f>
        <v>0</v>
      </c>
      <c r="I315" s="316"/>
      <c r="J315" s="315">
        <f t="shared" ref="J315" si="916">SUM(J314+K314)</f>
        <v>0</v>
      </c>
      <c r="K315" s="316"/>
      <c r="L315" s="315">
        <f t="shared" ref="L315" si="917">SUM(L314+M314)</f>
        <v>0</v>
      </c>
      <c r="M315" s="316"/>
      <c r="N315" s="315">
        <f t="shared" ref="N315" si="918">SUM(N314+O314)</f>
        <v>0</v>
      </c>
      <c r="O315" s="316"/>
      <c r="P315" s="315">
        <f t="shared" ref="P315" si="919">SUM(P314+Q314)</f>
        <v>0</v>
      </c>
      <c r="Q315" s="316"/>
      <c r="R315" s="315">
        <f t="shared" ref="R315" si="920">SUM(R314+S314)</f>
        <v>0</v>
      </c>
      <c r="S315" s="316"/>
      <c r="T315" s="315">
        <f t="shared" ref="T315" si="921">SUM(T314+U314)</f>
        <v>0</v>
      </c>
      <c r="U315" s="316"/>
      <c r="V315" s="315">
        <f t="shared" ref="V315" si="922">SUM(V314+W314)</f>
        <v>0</v>
      </c>
      <c r="W315" s="316"/>
      <c r="X315" s="315">
        <f t="shared" ref="X315" si="923">SUM(X314+Y314)</f>
        <v>0</v>
      </c>
      <c r="Y315" s="316"/>
      <c r="Z315" s="78"/>
      <c r="AA315" s="79"/>
    </row>
    <row r="316" spans="1:27" ht="18" customHeight="1">
      <c r="A316" s="326" t="s">
        <v>107</v>
      </c>
      <c r="B316" s="323" t="s">
        <v>38</v>
      </c>
      <c r="C316" s="324"/>
      <c r="D316" s="319" t="s">
        <v>38</v>
      </c>
      <c r="E316" s="320"/>
      <c r="F316" s="323" t="s">
        <v>38</v>
      </c>
      <c r="G316" s="324"/>
      <c r="H316" s="319" t="s">
        <v>38</v>
      </c>
      <c r="I316" s="320"/>
      <c r="J316" s="323" t="s">
        <v>38</v>
      </c>
      <c r="K316" s="324"/>
      <c r="L316" s="319" t="s">
        <v>38</v>
      </c>
      <c r="M316" s="320"/>
      <c r="N316" s="323" t="s">
        <v>38</v>
      </c>
      <c r="O316" s="324"/>
      <c r="P316" s="319" t="s">
        <v>38</v>
      </c>
      <c r="Q316" s="320"/>
      <c r="R316" s="323" t="s">
        <v>38</v>
      </c>
      <c r="S316" s="324"/>
      <c r="T316" s="319" t="s">
        <v>38</v>
      </c>
      <c r="U316" s="320"/>
      <c r="V316" s="319" t="s">
        <v>38</v>
      </c>
      <c r="W316" s="320"/>
      <c r="X316" s="319" t="s">
        <v>38</v>
      </c>
      <c r="Y316" s="320"/>
      <c r="Z316" s="54" t="s">
        <v>11</v>
      </c>
      <c r="AA316" s="52" t="s">
        <v>13</v>
      </c>
    </row>
    <row r="317" spans="1:27" ht="18" customHeight="1" thickBot="1">
      <c r="A317" s="327"/>
      <c r="B317" s="56" t="s">
        <v>2</v>
      </c>
      <c r="C317" s="57" t="s">
        <v>3</v>
      </c>
      <c r="D317" s="58" t="s">
        <v>2</v>
      </c>
      <c r="E317" s="59" t="s">
        <v>3</v>
      </c>
      <c r="F317" s="56" t="s">
        <v>2</v>
      </c>
      <c r="G317" s="57" t="s">
        <v>3</v>
      </c>
      <c r="H317" s="58" t="s">
        <v>2</v>
      </c>
      <c r="I317" s="59" t="s">
        <v>3</v>
      </c>
      <c r="J317" s="56" t="s">
        <v>2</v>
      </c>
      <c r="K317" s="57" t="s">
        <v>3</v>
      </c>
      <c r="L317" s="58" t="s">
        <v>2</v>
      </c>
      <c r="M317" s="59" t="s">
        <v>3</v>
      </c>
      <c r="N317" s="56" t="s">
        <v>2</v>
      </c>
      <c r="O317" s="57" t="s">
        <v>3</v>
      </c>
      <c r="P317" s="58" t="s">
        <v>2</v>
      </c>
      <c r="Q317" s="59" t="s">
        <v>3</v>
      </c>
      <c r="R317" s="56" t="s">
        <v>2</v>
      </c>
      <c r="S317" s="57" t="s">
        <v>3</v>
      </c>
      <c r="T317" s="58" t="s">
        <v>2</v>
      </c>
      <c r="U317" s="59" t="s">
        <v>3</v>
      </c>
      <c r="V317" s="58" t="s">
        <v>2</v>
      </c>
      <c r="W317" s="59" t="s">
        <v>3</v>
      </c>
      <c r="X317" s="58" t="s">
        <v>2</v>
      </c>
      <c r="Y317" s="59" t="s">
        <v>3</v>
      </c>
      <c r="Z317" s="53"/>
      <c r="AA317" s="51"/>
    </row>
    <row r="318" spans="1:27" ht="18" customHeight="1">
      <c r="A318" s="75" t="s">
        <v>4</v>
      </c>
      <c r="B318" s="65"/>
      <c r="C318" s="65"/>
      <c r="D318" s="64"/>
      <c r="E318" s="65"/>
      <c r="F318" s="64"/>
      <c r="G318" s="65"/>
      <c r="H318" s="64"/>
      <c r="I318" s="65"/>
      <c r="J318" s="64"/>
      <c r="K318" s="65"/>
      <c r="L318" s="64"/>
      <c r="M318" s="65"/>
      <c r="N318" s="64"/>
      <c r="O318" s="65"/>
      <c r="P318" s="64"/>
      <c r="Q318" s="65"/>
      <c r="R318" s="64"/>
      <c r="S318" s="65"/>
      <c r="T318" s="64"/>
      <c r="U318" s="65"/>
      <c r="V318" s="64"/>
      <c r="W318" s="65"/>
      <c r="X318" s="64"/>
      <c r="Y318" s="65"/>
      <c r="Z318" s="7">
        <f>SUM(B318:Y318)</f>
        <v>0</v>
      </c>
      <c r="AA318" s="10"/>
    </row>
    <row r="319" spans="1:27" ht="18" customHeight="1" thickBot="1">
      <c r="A319" s="76" t="s">
        <v>37</v>
      </c>
      <c r="B319" s="67"/>
      <c r="C319" s="67"/>
      <c r="D319" s="66"/>
      <c r="E319" s="67"/>
      <c r="F319" s="66"/>
      <c r="G319" s="67"/>
      <c r="H319" s="66"/>
      <c r="I319" s="67"/>
      <c r="J319" s="66"/>
      <c r="K319" s="67"/>
      <c r="L319" s="66"/>
      <c r="M319" s="67"/>
      <c r="N319" s="66"/>
      <c r="O319" s="67"/>
      <c r="P319" s="66"/>
      <c r="Q319" s="67"/>
      <c r="R319" s="66"/>
      <c r="S319" s="67"/>
      <c r="T319" s="66"/>
      <c r="U319" s="67"/>
      <c r="V319" s="66"/>
      <c r="W319" s="67"/>
      <c r="X319" s="66"/>
      <c r="Y319" s="67"/>
      <c r="Z319" s="11">
        <f>SUM(B319:Y319)</f>
        <v>0</v>
      </c>
      <c r="AA319" s="9">
        <f>SUM(Z318:Z319)</f>
        <v>0</v>
      </c>
    </row>
    <row r="320" spans="1:27" ht="18" customHeight="1">
      <c r="A320" s="77" t="s">
        <v>34</v>
      </c>
      <c r="B320" s="73"/>
      <c r="C320" s="64"/>
      <c r="D320" s="64"/>
      <c r="E320" s="65"/>
      <c r="F320" s="64"/>
      <c r="G320" s="65"/>
      <c r="H320" s="64"/>
      <c r="I320" s="65"/>
      <c r="J320" s="64"/>
      <c r="K320" s="65"/>
      <c r="L320" s="64"/>
      <c r="M320" s="65"/>
      <c r="N320" s="64"/>
      <c r="O320" s="65"/>
      <c r="P320" s="64"/>
      <c r="Q320" s="65"/>
      <c r="R320" s="64"/>
      <c r="S320" s="65"/>
      <c r="T320" s="64"/>
      <c r="U320" s="65"/>
      <c r="V320" s="64"/>
      <c r="W320" s="65"/>
      <c r="X320" s="64"/>
      <c r="Y320" s="65"/>
      <c r="Z320" s="13">
        <f>SUM(B320:Y320)</f>
        <v>0</v>
      </c>
      <c r="AA320" s="5"/>
    </row>
    <row r="321" spans="1:27" ht="18" customHeight="1" thickBot="1">
      <c r="A321" s="28" t="s">
        <v>0</v>
      </c>
      <c r="B321" s="74"/>
      <c r="C321" s="66"/>
      <c r="D321" s="66"/>
      <c r="E321" s="67"/>
      <c r="F321" s="66"/>
      <c r="G321" s="67"/>
      <c r="H321" s="66"/>
      <c r="I321" s="67"/>
      <c r="J321" s="66"/>
      <c r="K321" s="67"/>
      <c r="L321" s="66"/>
      <c r="M321" s="67"/>
      <c r="N321" s="66"/>
      <c r="O321" s="67"/>
      <c r="P321" s="66"/>
      <c r="Q321" s="67"/>
      <c r="R321" s="66"/>
      <c r="S321" s="67"/>
      <c r="T321" s="66"/>
      <c r="U321" s="67"/>
      <c r="V321" s="66"/>
      <c r="W321" s="67"/>
      <c r="X321" s="66"/>
      <c r="Y321" s="67"/>
      <c r="Z321" s="8">
        <f>SUM(B321:Y321)</f>
        <v>0</v>
      </c>
      <c r="AA321" s="18"/>
    </row>
    <row r="322" spans="1:27" ht="18" customHeight="1">
      <c r="A322" s="28" t="s">
        <v>35</v>
      </c>
      <c r="B322" s="7">
        <v>0</v>
      </c>
      <c r="C322" s="7">
        <v>0</v>
      </c>
      <c r="D322" s="7">
        <v>0</v>
      </c>
      <c r="E322" s="7">
        <v>0</v>
      </c>
      <c r="F322" s="7">
        <f>SUM(B320-B321)</f>
        <v>0</v>
      </c>
      <c r="G322" s="7">
        <f t="shared" ref="G322" si="924">SUM(C320-C321)</f>
        <v>0</v>
      </c>
      <c r="H322" s="7">
        <f t="shared" ref="H322" si="925">SUM(D320-D321)</f>
        <v>0</v>
      </c>
      <c r="I322" s="7">
        <f t="shared" ref="I322" si="926">SUM(E320-E321)</f>
        <v>0</v>
      </c>
      <c r="J322" s="7">
        <f t="shared" ref="J322" si="927">SUM(F320-F321)</f>
        <v>0</v>
      </c>
      <c r="K322" s="7">
        <f t="shared" ref="K322" si="928">SUM(G320-G321)</f>
        <v>0</v>
      </c>
      <c r="L322" s="7">
        <f t="shared" ref="L322" si="929">SUM(H320-H321)</f>
        <v>0</v>
      </c>
      <c r="M322" s="7">
        <f t="shared" ref="M322" si="930">SUM(I320-I321)</f>
        <v>0</v>
      </c>
      <c r="N322" s="7">
        <f t="shared" ref="N322" si="931">SUM(J320-J321)</f>
        <v>0</v>
      </c>
      <c r="O322" s="7">
        <f t="shared" ref="O322" si="932">SUM(K320-K321)</f>
        <v>0</v>
      </c>
      <c r="P322" s="7">
        <f t="shared" ref="P322" si="933">SUM(L320-L321)</f>
        <v>0</v>
      </c>
      <c r="Q322" s="7">
        <f t="shared" ref="Q322" si="934">SUM(M320-M321)</f>
        <v>0</v>
      </c>
      <c r="R322" s="7">
        <f t="shared" ref="R322" si="935">SUM(N320-N321)</f>
        <v>0</v>
      </c>
      <c r="S322" s="7">
        <f t="shared" ref="S322" si="936">SUM(O320-O321)</f>
        <v>0</v>
      </c>
      <c r="T322" s="7">
        <f t="shared" ref="T322" si="937">SUM(P320-P321)</f>
        <v>0</v>
      </c>
      <c r="U322" s="7">
        <f t="shared" ref="U322" si="938">SUM(Q320-Q321)</f>
        <v>0</v>
      </c>
      <c r="V322" s="7">
        <f t="shared" ref="V322" si="939">SUM(R320-R321)</f>
        <v>0</v>
      </c>
      <c r="W322" s="7">
        <f t="shared" ref="W322" si="940">SUM(S320-S321)</f>
        <v>0</v>
      </c>
      <c r="X322" s="7">
        <f t="shared" ref="X322" si="941">SUM(T320-T321)</f>
        <v>0</v>
      </c>
      <c r="Y322" s="7">
        <f t="shared" ref="Y322" si="942">SUM(U320-U321)</f>
        <v>0</v>
      </c>
      <c r="Z322" s="8">
        <f>SUM(B322:Y322)</f>
        <v>0</v>
      </c>
      <c r="AA322" s="18">
        <f>SUM(Z321:Z322)</f>
        <v>0</v>
      </c>
    </row>
    <row r="323" spans="1:27" ht="17.25" customHeight="1" thickBot="1">
      <c r="A323" s="29" t="s">
        <v>39</v>
      </c>
      <c r="B323" s="325">
        <f>SUM(B322+C322)</f>
        <v>0</v>
      </c>
      <c r="C323" s="316"/>
      <c r="D323" s="315">
        <f t="shared" ref="D323" si="943">SUM(D322+E322)</f>
        <v>0</v>
      </c>
      <c r="E323" s="316"/>
      <c r="F323" s="315">
        <f t="shared" ref="F323" si="944">SUM(F322+G322)</f>
        <v>0</v>
      </c>
      <c r="G323" s="316"/>
      <c r="H323" s="315">
        <f t="shared" ref="H323" si="945">SUM(H322+I322)</f>
        <v>0</v>
      </c>
      <c r="I323" s="316"/>
      <c r="J323" s="315">
        <f t="shared" ref="J323" si="946">SUM(J322+K322)</f>
        <v>0</v>
      </c>
      <c r="K323" s="316"/>
      <c r="L323" s="315">
        <f t="shared" ref="L323" si="947">SUM(L322+M322)</f>
        <v>0</v>
      </c>
      <c r="M323" s="316"/>
      <c r="N323" s="315">
        <f t="shared" ref="N323" si="948">SUM(N322+O322)</f>
        <v>0</v>
      </c>
      <c r="O323" s="316"/>
      <c r="P323" s="315">
        <f t="shared" ref="P323" si="949">SUM(P322+Q322)</f>
        <v>0</v>
      </c>
      <c r="Q323" s="316"/>
      <c r="R323" s="315">
        <f t="shared" ref="R323" si="950">SUM(R322+S322)</f>
        <v>0</v>
      </c>
      <c r="S323" s="316"/>
      <c r="T323" s="315">
        <f t="shared" ref="T323" si="951">SUM(T322+U322)</f>
        <v>0</v>
      </c>
      <c r="U323" s="316"/>
      <c r="V323" s="315">
        <f t="shared" ref="V323" si="952">SUM(V322+W322)</f>
        <v>0</v>
      </c>
      <c r="W323" s="316"/>
      <c r="X323" s="315">
        <f t="shared" ref="X323" si="953">SUM(X322+Y322)</f>
        <v>0</v>
      </c>
      <c r="Y323" s="316"/>
      <c r="Z323" s="78"/>
      <c r="AA323" s="79"/>
    </row>
    <row r="324" spans="1:27" ht="18" customHeight="1">
      <c r="A324" s="326" t="s">
        <v>108</v>
      </c>
      <c r="B324" s="323" t="s">
        <v>38</v>
      </c>
      <c r="C324" s="324"/>
      <c r="D324" s="319" t="s">
        <v>38</v>
      </c>
      <c r="E324" s="320"/>
      <c r="F324" s="323" t="s">
        <v>38</v>
      </c>
      <c r="G324" s="324"/>
      <c r="H324" s="319" t="s">
        <v>38</v>
      </c>
      <c r="I324" s="320"/>
      <c r="J324" s="323" t="s">
        <v>38</v>
      </c>
      <c r="K324" s="324"/>
      <c r="L324" s="319" t="s">
        <v>38</v>
      </c>
      <c r="M324" s="320"/>
      <c r="N324" s="323" t="s">
        <v>38</v>
      </c>
      <c r="O324" s="324"/>
      <c r="P324" s="319" t="s">
        <v>38</v>
      </c>
      <c r="Q324" s="320"/>
      <c r="R324" s="323" t="s">
        <v>38</v>
      </c>
      <c r="S324" s="324"/>
      <c r="T324" s="319" t="s">
        <v>38</v>
      </c>
      <c r="U324" s="320"/>
      <c r="V324" s="319" t="s">
        <v>38</v>
      </c>
      <c r="W324" s="320"/>
      <c r="X324" s="319" t="s">
        <v>38</v>
      </c>
      <c r="Y324" s="320"/>
      <c r="Z324" s="54" t="s">
        <v>11</v>
      </c>
      <c r="AA324" s="52" t="s">
        <v>13</v>
      </c>
    </row>
    <row r="325" spans="1:27" ht="18" customHeight="1" thickBot="1">
      <c r="A325" s="327"/>
      <c r="B325" s="56" t="s">
        <v>2</v>
      </c>
      <c r="C325" s="57" t="s">
        <v>3</v>
      </c>
      <c r="D325" s="58" t="s">
        <v>2</v>
      </c>
      <c r="E325" s="59" t="s">
        <v>3</v>
      </c>
      <c r="F325" s="56" t="s">
        <v>2</v>
      </c>
      <c r="G325" s="57" t="s">
        <v>3</v>
      </c>
      <c r="H325" s="58" t="s">
        <v>2</v>
      </c>
      <c r="I325" s="59" t="s">
        <v>3</v>
      </c>
      <c r="J325" s="56" t="s">
        <v>2</v>
      </c>
      <c r="K325" s="57" t="s">
        <v>3</v>
      </c>
      <c r="L325" s="58" t="s">
        <v>2</v>
      </c>
      <c r="M325" s="59" t="s">
        <v>3</v>
      </c>
      <c r="N325" s="56" t="s">
        <v>2</v>
      </c>
      <c r="O325" s="57" t="s">
        <v>3</v>
      </c>
      <c r="P325" s="58" t="s">
        <v>2</v>
      </c>
      <c r="Q325" s="59" t="s">
        <v>3</v>
      </c>
      <c r="R325" s="56" t="s">
        <v>2</v>
      </c>
      <c r="S325" s="57" t="s">
        <v>3</v>
      </c>
      <c r="T325" s="58" t="s">
        <v>2</v>
      </c>
      <c r="U325" s="59" t="s">
        <v>3</v>
      </c>
      <c r="V325" s="58" t="s">
        <v>2</v>
      </c>
      <c r="W325" s="59" t="s">
        <v>3</v>
      </c>
      <c r="X325" s="58" t="s">
        <v>2</v>
      </c>
      <c r="Y325" s="59" t="s">
        <v>3</v>
      </c>
      <c r="Z325" s="53"/>
      <c r="AA325" s="51"/>
    </row>
    <row r="326" spans="1:27" ht="18" customHeight="1">
      <c r="A326" s="75" t="s">
        <v>4</v>
      </c>
      <c r="B326" s="65"/>
      <c r="C326" s="65"/>
      <c r="D326" s="64"/>
      <c r="E326" s="65"/>
      <c r="F326" s="64"/>
      <c r="G326" s="65"/>
      <c r="H326" s="64"/>
      <c r="I326" s="65"/>
      <c r="J326" s="64"/>
      <c r="K326" s="65"/>
      <c r="L326" s="64"/>
      <c r="M326" s="65"/>
      <c r="N326" s="64"/>
      <c r="O326" s="65"/>
      <c r="P326" s="64"/>
      <c r="Q326" s="65"/>
      <c r="R326" s="64"/>
      <c r="S326" s="65"/>
      <c r="T326" s="64"/>
      <c r="U326" s="65"/>
      <c r="V326" s="64"/>
      <c r="W326" s="65"/>
      <c r="X326" s="64"/>
      <c r="Y326" s="65"/>
      <c r="Z326" s="7">
        <f>SUM(B326:Y326)</f>
        <v>0</v>
      </c>
      <c r="AA326" s="10"/>
    </row>
    <row r="327" spans="1:27" ht="18" customHeight="1" thickBot="1">
      <c r="A327" s="76" t="s">
        <v>37</v>
      </c>
      <c r="B327" s="67"/>
      <c r="C327" s="67"/>
      <c r="D327" s="66"/>
      <c r="E327" s="67"/>
      <c r="F327" s="66"/>
      <c r="G327" s="67"/>
      <c r="H327" s="66"/>
      <c r="I327" s="67"/>
      <c r="J327" s="66"/>
      <c r="K327" s="67"/>
      <c r="L327" s="66"/>
      <c r="M327" s="67"/>
      <c r="N327" s="66"/>
      <c r="O327" s="67"/>
      <c r="P327" s="66"/>
      <c r="Q327" s="67"/>
      <c r="R327" s="66"/>
      <c r="S327" s="67"/>
      <c r="T327" s="66"/>
      <c r="U327" s="67"/>
      <c r="V327" s="66"/>
      <c r="W327" s="67"/>
      <c r="X327" s="66"/>
      <c r="Y327" s="67"/>
      <c r="Z327" s="11">
        <f>SUM(B327:Y327)</f>
        <v>0</v>
      </c>
      <c r="AA327" s="9">
        <f>SUM(Z326:Z327)</f>
        <v>0</v>
      </c>
    </row>
    <row r="328" spans="1:27" ht="18" customHeight="1">
      <c r="A328" s="77" t="s">
        <v>34</v>
      </c>
      <c r="B328" s="73"/>
      <c r="C328" s="64"/>
      <c r="D328" s="64"/>
      <c r="E328" s="65"/>
      <c r="F328" s="64"/>
      <c r="G328" s="65"/>
      <c r="H328" s="64"/>
      <c r="I328" s="65"/>
      <c r="J328" s="64"/>
      <c r="K328" s="65"/>
      <c r="L328" s="64"/>
      <c r="M328" s="65"/>
      <c r="N328" s="64"/>
      <c r="O328" s="65"/>
      <c r="P328" s="64"/>
      <c r="Q328" s="65"/>
      <c r="R328" s="64"/>
      <c r="S328" s="65"/>
      <c r="T328" s="64"/>
      <c r="U328" s="65"/>
      <c r="V328" s="64"/>
      <c r="W328" s="65"/>
      <c r="X328" s="64"/>
      <c r="Y328" s="65"/>
      <c r="Z328" s="13">
        <f>SUM(B328:Y328)</f>
        <v>0</v>
      </c>
      <c r="AA328" s="5"/>
    </row>
    <row r="329" spans="1:27" ht="18" customHeight="1" thickBot="1">
      <c r="A329" s="28" t="s">
        <v>0</v>
      </c>
      <c r="B329" s="74"/>
      <c r="C329" s="66"/>
      <c r="D329" s="66"/>
      <c r="E329" s="67"/>
      <c r="F329" s="66"/>
      <c r="G329" s="67"/>
      <c r="H329" s="66"/>
      <c r="I329" s="67"/>
      <c r="J329" s="66"/>
      <c r="K329" s="67"/>
      <c r="L329" s="66"/>
      <c r="M329" s="67"/>
      <c r="N329" s="66"/>
      <c r="O329" s="67"/>
      <c r="P329" s="66"/>
      <c r="Q329" s="67"/>
      <c r="R329" s="66"/>
      <c r="S329" s="67"/>
      <c r="T329" s="66"/>
      <c r="U329" s="67"/>
      <c r="V329" s="66"/>
      <c r="W329" s="67"/>
      <c r="X329" s="66"/>
      <c r="Y329" s="67"/>
      <c r="Z329" s="8">
        <f>SUM(B329:Y329)</f>
        <v>0</v>
      </c>
      <c r="AA329" s="18"/>
    </row>
    <row r="330" spans="1:27" ht="18" customHeight="1">
      <c r="A330" s="28" t="s">
        <v>35</v>
      </c>
      <c r="B330" s="7">
        <v>0</v>
      </c>
      <c r="C330" s="7">
        <v>0</v>
      </c>
      <c r="D330" s="7">
        <v>0</v>
      </c>
      <c r="E330" s="7">
        <v>0</v>
      </c>
      <c r="F330" s="7">
        <f>SUM(B328-B329)</f>
        <v>0</v>
      </c>
      <c r="G330" s="7">
        <f t="shared" ref="G330" si="954">SUM(C328-C329)</f>
        <v>0</v>
      </c>
      <c r="H330" s="7">
        <f t="shared" ref="H330" si="955">SUM(D328-D329)</f>
        <v>0</v>
      </c>
      <c r="I330" s="7">
        <f t="shared" ref="I330" si="956">SUM(E328-E329)</f>
        <v>0</v>
      </c>
      <c r="J330" s="7">
        <f t="shared" ref="J330" si="957">SUM(F328-F329)</f>
        <v>0</v>
      </c>
      <c r="K330" s="7">
        <f t="shared" ref="K330" si="958">SUM(G328-G329)</f>
        <v>0</v>
      </c>
      <c r="L330" s="7">
        <f t="shared" ref="L330" si="959">SUM(H328-H329)</f>
        <v>0</v>
      </c>
      <c r="M330" s="7">
        <f t="shared" ref="M330" si="960">SUM(I328-I329)</f>
        <v>0</v>
      </c>
      <c r="N330" s="7">
        <f t="shared" ref="N330" si="961">SUM(J328-J329)</f>
        <v>0</v>
      </c>
      <c r="O330" s="7">
        <f t="shared" ref="O330" si="962">SUM(K328-K329)</f>
        <v>0</v>
      </c>
      <c r="P330" s="7">
        <f t="shared" ref="P330" si="963">SUM(L328-L329)</f>
        <v>0</v>
      </c>
      <c r="Q330" s="7">
        <f t="shared" ref="Q330" si="964">SUM(M328-M329)</f>
        <v>0</v>
      </c>
      <c r="R330" s="7">
        <f t="shared" ref="R330" si="965">SUM(N328-N329)</f>
        <v>0</v>
      </c>
      <c r="S330" s="7">
        <f t="shared" ref="S330" si="966">SUM(O328-O329)</f>
        <v>0</v>
      </c>
      <c r="T330" s="7">
        <f t="shared" ref="T330" si="967">SUM(P328-P329)</f>
        <v>0</v>
      </c>
      <c r="U330" s="7">
        <f t="shared" ref="U330" si="968">SUM(Q328-Q329)</f>
        <v>0</v>
      </c>
      <c r="V330" s="7">
        <f t="shared" ref="V330" si="969">SUM(R328-R329)</f>
        <v>0</v>
      </c>
      <c r="W330" s="7">
        <f t="shared" ref="W330" si="970">SUM(S328-S329)</f>
        <v>0</v>
      </c>
      <c r="X330" s="7">
        <f t="shared" ref="X330" si="971">SUM(T328-T329)</f>
        <v>0</v>
      </c>
      <c r="Y330" s="7">
        <f t="shared" ref="Y330" si="972">SUM(U328-U329)</f>
        <v>0</v>
      </c>
      <c r="Z330" s="8">
        <f>SUM(B330:Y330)</f>
        <v>0</v>
      </c>
      <c r="AA330" s="18">
        <f>SUM(Z329:Z330)</f>
        <v>0</v>
      </c>
    </row>
    <row r="331" spans="1:27" ht="17.25" customHeight="1" thickBot="1">
      <c r="A331" s="29" t="s">
        <v>39</v>
      </c>
      <c r="B331" s="325">
        <f>SUM(B330+C330)</f>
        <v>0</v>
      </c>
      <c r="C331" s="316"/>
      <c r="D331" s="315">
        <f t="shared" ref="D331" si="973">SUM(D330+E330)</f>
        <v>0</v>
      </c>
      <c r="E331" s="316"/>
      <c r="F331" s="315">
        <f t="shared" ref="F331" si="974">SUM(F330+G330)</f>
        <v>0</v>
      </c>
      <c r="G331" s="316"/>
      <c r="H331" s="315">
        <f t="shared" ref="H331" si="975">SUM(H330+I330)</f>
        <v>0</v>
      </c>
      <c r="I331" s="316"/>
      <c r="J331" s="315">
        <f t="shared" ref="J331" si="976">SUM(J330+K330)</f>
        <v>0</v>
      </c>
      <c r="K331" s="316"/>
      <c r="L331" s="315">
        <f t="shared" ref="L331" si="977">SUM(L330+M330)</f>
        <v>0</v>
      </c>
      <c r="M331" s="316"/>
      <c r="N331" s="315">
        <f t="shared" ref="N331" si="978">SUM(N330+O330)</f>
        <v>0</v>
      </c>
      <c r="O331" s="316"/>
      <c r="P331" s="315">
        <f t="shared" ref="P331" si="979">SUM(P330+Q330)</f>
        <v>0</v>
      </c>
      <c r="Q331" s="316"/>
      <c r="R331" s="315">
        <f t="shared" ref="R331" si="980">SUM(R330+S330)</f>
        <v>0</v>
      </c>
      <c r="S331" s="316"/>
      <c r="T331" s="315">
        <f t="shared" ref="T331" si="981">SUM(T330+U330)</f>
        <v>0</v>
      </c>
      <c r="U331" s="316"/>
      <c r="V331" s="315">
        <f t="shared" ref="V331" si="982">SUM(V330+W330)</f>
        <v>0</v>
      </c>
      <c r="W331" s="316"/>
      <c r="X331" s="315">
        <f t="shared" ref="X331" si="983">SUM(X330+Y330)</f>
        <v>0</v>
      </c>
      <c r="Y331" s="316"/>
      <c r="Z331" s="78"/>
      <c r="AA331" s="79"/>
    </row>
    <row r="332" spans="1:27" ht="18" customHeight="1">
      <c r="A332" s="326" t="s">
        <v>109</v>
      </c>
      <c r="B332" s="323" t="s">
        <v>38</v>
      </c>
      <c r="C332" s="324"/>
      <c r="D332" s="319" t="s">
        <v>38</v>
      </c>
      <c r="E332" s="320"/>
      <c r="F332" s="323" t="s">
        <v>38</v>
      </c>
      <c r="G332" s="324"/>
      <c r="H332" s="319" t="s">
        <v>38</v>
      </c>
      <c r="I332" s="320"/>
      <c r="J332" s="323" t="s">
        <v>38</v>
      </c>
      <c r="K332" s="324"/>
      <c r="L332" s="319" t="s">
        <v>38</v>
      </c>
      <c r="M332" s="320"/>
      <c r="N332" s="323" t="s">
        <v>38</v>
      </c>
      <c r="O332" s="324"/>
      <c r="P332" s="319" t="s">
        <v>38</v>
      </c>
      <c r="Q332" s="320"/>
      <c r="R332" s="323" t="s">
        <v>38</v>
      </c>
      <c r="S332" s="324"/>
      <c r="T332" s="319" t="s">
        <v>38</v>
      </c>
      <c r="U332" s="320"/>
      <c r="V332" s="319" t="s">
        <v>38</v>
      </c>
      <c r="W332" s="320"/>
      <c r="X332" s="319" t="s">
        <v>38</v>
      </c>
      <c r="Y332" s="320"/>
      <c r="Z332" s="54" t="s">
        <v>11</v>
      </c>
      <c r="AA332" s="52" t="s">
        <v>13</v>
      </c>
    </row>
    <row r="333" spans="1:27" ht="18" customHeight="1" thickBot="1">
      <c r="A333" s="327"/>
      <c r="B333" s="56" t="s">
        <v>2</v>
      </c>
      <c r="C333" s="57" t="s">
        <v>3</v>
      </c>
      <c r="D333" s="58" t="s">
        <v>2</v>
      </c>
      <c r="E333" s="59" t="s">
        <v>3</v>
      </c>
      <c r="F333" s="56" t="s">
        <v>2</v>
      </c>
      <c r="G333" s="57" t="s">
        <v>3</v>
      </c>
      <c r="H333" s="58" t="s">
        <v>2</v>
      </c>
      <c r="I333" s="59" t="s">
        <v>3</v>
      </c>
      <c r="J333" s="56" t="s">
        <v>2</v>
      </c>
      <c r="K333" s="57" t="s">
        <v>3</v>
      </c>
      <c r="L333" s="58" t="s">
        <v>2</v>
      </c>
      <c r="M333" s="59" t="s">
        <v>3</v>
      </c>
      <c r="N333" s="56" t="s">
        <v>2</v>
      </c>
      <c r="O333" s="57" t="s">
        <v>3</v>
      </c>
      <c r="P333" s="58" t="s">
        <v>2</v>
      </c>
      <c r="Q333" s="59" t="s">
        <v>3</v>
      </c>
      <c r="R333" s="56" t="s">
        <v>2</v>
      </c>
      <c r="S333" s="57" t="s">
        <v>3</v>
      </c>
      <c r="T333" s="58" t="s">
        <v>2</v>
      </c>
      <c r="U333" s="59" t="s">
        <v>3</v>
      </c>
      <c r="V333" s="58" t="s">
        <v>2</v>
      </c>
      <c r="W333" s="59" t="s">
        <v>3</v>
      </c>
      <c r="X333" s="58" t="s">
        <v>2</v>
      </c>
      <c r="Y333" s="59" t="s">
        <v>3</v>
      </c>
      <c r="Z333" s="53"/>
      <c r="AA333" s="51"/>
    </row>
    <row r="334" spans="1:27" ht="18" customHeight="1">
      <c r="A334" s="75" t="s">
        <v>4</v>
      </c>
      <c r="B334" s="65"/>
      <c r="C334" s="65"/>
      <c r="D334" s="64"/>
      <c r="E334" s="65"/>
      <c r="F334" s="64"/>
      <c r="G334" s="65"/>
      <c r="H334" s="64"/>
      <c r="I334" s="65"/>
      <c r="J334" s="64"/>
      <c r="K334" s="65"/>
      <c r="L334" s="64"/>
      <c r="M334" s="65"/>
      <c r="N334" s="64"/>
      <c r="O334" s="65"/>
      <c r="P334" s="64"/>
      <c r="Q334" s="65"/>
      <c r="R334" s="64"/>
      <c r="S334" s="65"/>
      <c r="T334" s="64"/>
      <c r="U334" s="65"/>
      <c r="V334" s="64"/>
      <c r="W334" s="65"/>
      <c r="X334" s="64"/>
      <c r="Y334" s="65"/>
      <c r="Z334" s="7">
        <f>SUM(B334:Y334)</f>
        <v>0</v>
      </c>
      <c r="AA334" s="10"/>
    </row>
    <row r="335" spans="1:27" ht="18" customHeight="1" thickBot="1">
      <c r="A335" s="76" t="s">
        <v>37</v>
      </c>
      <c r="B335" s="67"/>
      <c r="C335" s="67"/>
      <c r="D335" s="66"/>
      <c r="E335" s="67"/>
      <c r="F335" s="66"/>
      <c r="G335" s="67"/>
      <c r="H335" s="66"/>
      <c r="I335" s="67"/>
      <c r="J335" s="66"/>
      <c r="K335" s="67"/>
      <c r="L335" s="66"/>
      <c r="M335" s="67"/>
      <c r="N335" s="66"/>
      <c r="O335" s="67"/>
      <c r="P335" s="66"/>
      <c r="Q335" s="67"/>
      <c r="R335" s="66"/>
      <c r="S335" s="67"/>
      <c r="T335" s="66"/>
      <c r="U335" s="67"/>
      <c r="V335" s="66"/>
      <c r="W335" s="67"/>
      <c r="X335" s="66"/>
      <c r="Y335" s="67"/>
      <c r="Z335" s="11">
        <f>SUM(B335:Y335)</f>
        <v>0</v>
      </c>
      <c r="AA335" s="9">
        <f>SUM(Z334:Z335)</f>
        <v>0</v>
      </c>
    </row>
    <row r="336" spans="1:27" ht="18" customHeight="1">
      <c r="A336" s="77" t="s">
        <v>34</v>
      </c>
      <c r="B336" s="73"/>
      <c r="C336" s="64"/>
      <c r="D336" s="64"/>
      <c r="E336" s="65"/>
      <c r="F336" s="64"/>
      <c r="G336" s="65"/>
      <c r="H336" s="64"/>
      <c r="I336" s="65"/>
      <c r="J336" s="64"/>
      <c r="K336" s="65"/>
      <c r="L336" s="64"/>
      <c r="M336" s="65"/>
      <c r="N336" s="64"/>
      <c r="O336" s="65"/>
      <c r="P336" s="64"/>
      <c r="Q336" s="65"/>
      <c r="R336" s="64"/>
      <c r="S336" s="65"/>
      <c r="T336" s="64"/>
      <c r="U336" s="65"/>
      <c r="V336" s="64"/>
      <c r="W336" s="65"/>
      <c r="X336" s="64"/>
      <c r="Y336" s="65"/>
      <c r="Z336" s="13">
        <f>SUM(B336:Y336)</f>
        <v>0</v>
      </c>
      <c r="AA336" s="5"/>
    </row>
    <row r="337" spans="1:27" ht="18" customHeight="1" thickBot="1">
      <c r="A337" s="28" t="s">
        <v>0</v>
      </c>
      <c r="B337" s="74"/>
      <c r="C337" s="66"/>
      <c r="D337" s="66"/>
      <c r="E337" s="67"/>
      <c r="F337" s="66"/>
      <c r="G337" s="67"/>
      <c r="H337" s="66"/>
      <c r="I337" s="67"/>
      <c r="J337" s="66"/>
      <c r="K337" s="67"/>
      <c r="L337" s="66"/>
      <c r="M337" s="67"/>
      <c r="N337" s="66"/>
      <c r="O337" s="67"/>
      <c r="P337" s="66"/>
      <c r="Q337" s="67"/>
      <c r="R337" s="66"/>
      <c r="S337" s="67"/>
      <c r="T337" s="66"/>
      <c r="U337" s="67"/>
      <c r="V337" s="66"/>
      <c r="W337" s="67"/>
      <c r="X337" s="66"/>
      <c r="Y337" s="67"/>
      <c r="Z337" s="8">
        <f>SUM(B337:Y337)</f>
        <v>0</v>
      </c>
      <c r="AA337" s="18"/>
    </row>
    <row r="338" spans="1:27" ht="18" customHeight="1">
      <c r="A338" s="28" t="s">
        <v>35</v>
      </c>
      <c r="B338" s="7">
        <v>0</v>
      </c>
      <c r="C338" s="7">
        <v>0</v>
      </c>
      <c r="D338" s="7">
        <v>0</v>
      </c>
      <c r="E338" s="7">
        <v>0</v>
      </c>
      <c r="F338" s="7">
        <f>SUM(B336-B337)</f>
        <v>0</v>
      </c>
      <c r="G338" s="7">
        <f t="shared" ref="G338" si="984">SUM(C336-C337)</f>
        <v>0</v>
      </c>
      <c r="H338" s="7">
        <f t="shared" ref="H338" si="985">SUM(D336-D337)</f>
        <v>0</v>
      </c>
      <c r="I338" s="7">
        <f t="shared" ref="I338" si="986">SUM(E336-E337)</f>
        <v>0</v>
      </c>
      <c r="J338" s="7">
        <f t="shared" ref="J338" si="987">SUM(F336-F337)</f>
        <v>0</v>
      </c>
      <c r="K338" s="7">
        <f t="shared" ref="K338" si="988">SUM(G336-G337)</f>
        <v>0</v>
      </c>
      <c r="L338" s="7">
        <f t="shared" ref="L338" si="989">SUM(H336-H337)</f>
        <v>0</v>
      </c>
      <c r="M338" s="7">
        <f t="shared" ref="M338" si="990">SUM(I336-I337)</f>
        <v>0</v>
      </c>
      <c r="N338" s="7">
        <f t="shared" ref="N338" si="991">SUM(J336-J337)</f>
        <v>0</v>
      </c>
      <c r="O338" s="7">
        <f t="shared" ref="O338" si="992">SUM(K336-K337)</f>
        <v>0</v>
      </c>
      <c r="P338" s="7">
        <f t="shared" ref="P338" si="993">SUM(L336-L337)</f>
        <v>0</v>
      </c>
      <c r="Q338" s="7">
        <f t="shared" ref="Q338" si="994">SUM(M336-M337)</f>
        <v>0</v>
      </c>
      <c r="R338" s="7">
        <f t="shared" ref="R338" si="995">SUM(N336-N337)</f>
        <v>0</v>
      </c>
      <c r="S338" s="7">
        <f t="shared" ref="S338" si="996">SUM(O336-O337)</f>
        <v>0</v>
      </c>
      <c r="T338" s="7">
        <f t="shared" ref="T338" si="997">SUM(P336-P337)</f>
        <v>0</v>
      </c>
      <c r="U338" s="7">
        <f t="shared" ref="U338" si="998">SUM(Q336-Q337)</f>
        <v>0</v>
      </c>
      <c r="V338" s="7">
        <f t="shared" ref="V338" si="999">SUM(R336-R337)</f>
        <v>0</v>
      </c>
      <c r="W338" s="7">
        <f t="shared" ref="W338" si="1000">SUM(S336-S337)</f>
        <v>0</v>
      </c>
      <c r="X338" s="7">
        <f t="shared" ref="X338" si="1001">SUM(T336-T337)</f>
        <v>0</v>
      </c>
      <c r="Y338" s="7">
        <f t="shared" ref="Y338" si="1002">SUM(U336-U337)</f>
        <v>0</v>
      </c>
      <c r="Z338" s="8">
        <f>SUM(B338:Y338)</f>
        <v>0</v>
      </c>
      <c r="AA338" s="18">
        <f>SUM(Z337:Z338)</f>
        <v>0</v>
      </c>
    </row>
    <row r="339" spans="1:27" ht="17.25" customHeight="1" thickBot="1">
      <c r="A339" s="29" t="s">
        <v>39</v>
      </c>
      <c r="B339" s="325">
        <f>SUM(B338+C338)</f>
        <v>0</v>
      </c>
      <c r="C339" s="316"/>
      <c r="D339" s="315">
        <f t="shared" ref="D339" si="1003">SUM(D338+E338)</f>
        <v>0</v>
      </c>
      <c r="E339" s="316"/>
      <c r="F339" s="315">
        <f t="shared" ref="F339" si="1004">SUM(F338+G338)</f>
        <v>0</v>
      </c>
      <c r="G339" s="316"/>
      <c r="H339" s="315">
        <f t="shared" ref="H339" si="1005">SUM(H338+I338)</f>
        <v>0</v>
      </c>
      <c r="I339" s="316"/>
      <c r="J339" s="315">
        <f t="shared" ref="J339" si="1006">SUM(J338+K338)</f>
        <v>0</v>
      </c>
      <c r="K339" s="316"/>
      <c r="L339" s="315">
        <f t="shared" ref="L339" si="1007">SUM(L338+M338)</f>
        <v>0</v>
      </c>
      <c r="M339" s="316"/>
      <c r="N339" s="315">
        <f t="shared" ref="N339" si="1008">SUM(N338+O338)</f>
        <v>0</v>
      </c>
      <c r="O339" s="316"/>
      <c r="P339" s="315">
        <f t="shared" ref="P339" si="1009">SUM(P338+Q338)</f>
        <v>0</v>
      </c>
      <c r="Q339" s="316"/>
      <c r="R339" s="315">
        <f t="shared" ref="R339" si="1010">SUM(R338+S338)</f>
        <v>0</v>
      </c>
      <c r="S339" s="316"/>
      <c r="T339" s="315">
        <f t="shared" ref="T339" si="1011">SUM(T338+U338)</f>
        <v>0</v>
      </c>
      <c r="U339" s="316"/>
      <c r="V339" s="315">
        <f t="shared" ref="V339" si="1012">SUM(V338+W338)</f>
        <v>0</v>
      </c>
      <c r="W339" s="316"/>
      <c r="X339" s="315">
        <f t="shared" ref="X339" si="1013">SUM(X338+Y338)</f>
        <v>0</v>
      </c>
      <c r="Y339" s="316"/>
      <c r="Z339" s="78"/>
      <c r="AA339" s="79"/>
    </row>
  </sheetData>
  <sheetProtection selectLockedCells="1"/>
  <mergeCells count="1026">
    <mergeCell ref="A20:A21"/>
    <mergeCell ref="L20:M20"/>
    <mergeCell ref="N20:O20"/>
    <mergeCell ref="P20:Q20"/>
    <mergeCell ref="R20:S20"/>
    <mergeCell ref="AB2:AC2"/>
    <mergeCell ref="L2:M2"/>
    <mergeCell ref="N2:O2"/>
    <mergeCell ref="P2:Q2"/>
    <mergeCell ref="R2:S2"/>
    <mergeCell ref="T2:U2"/>
    <mergeCell ref="T20:U20"/>
    <mergeCell ref="B20:C20"/>
    <mergeCell ref="D20:E20"/>
    <mergeCell ref="F20:G20"/>
    <mergeCell ref="H20:I20"/>
    <mergeCell ref="J20:K20"/>
    <mergeCell ref="B2:C2"/>
    <mergeCell ref="D2:E2"/>
    <mergeCell ref="F2:G2"/>
    <mergeCell ref="H2:I2"/>
    <mergeCell ref="J68:K68"/>
    <mergeCell ref="L68:M68"/>
    <mergeCell ref="N68:O68"/>
    <mergeCell ref="P68:Q68"/>
    <mergeCell ref="R68:S68"/>
    <mergeCell ref="J2:K2"/>
    <mergeCell ref="B18:C18"/>
    <mergeCell ref="D18:E18"/>
    <mergeCell ref="P18:Q18"/>
    <mergeCell ref="R18:S18"/>
    <mergeCell ref="T18:U18"/>
    <mergeCell ref="F18:G18"/>
    <mergeCell ref="H18:I18"/>
    <mergeCell ref="A68:A69"/>
    <mergeCell ref="B68:C68"/>
    <mergeCell ref="D68:E68"/>
    <mergeCell ref="F68:G68"/>
    <mergeCell ref="H68:I68"/>
    <mergeCell ref="B59:C59"/>
    <mergeCell ref="D59:E59"/>
    <mergeCell ref="B43:C43"/>
    <mergeCell ref="D43:E43"/>
    <mergeCell ref="F43:G43"/>
    <mergeCell ref="H43:I43"/>
    <mergeCell ref="F59:G59"/>
    <mergeCell ref="H59:I59"/>
    <mergeCell ref="A28:A29"/>
    <mergeCell ref="B28:C28"/>
    <mergeCell ref="D28:E28"/>
    <mergeCell ref="J18:K18"/>
    <mergeCell ref="L18:M18"/>
    <mergeCell ref="N18:O18"/>
    <mergeCell ref="T27:U27"/>
    <mergeCell ref="H27:I27"/>
    <mergeCell ref="J27:K27"/>
    <mergeCell ref="L27:M27"/>
    <mergeCell ref="N27:O27"/>
    <mergeCell ref="P27:Q27"/>
    <mergeCell ref="T124:U124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J124:K124"/>
    <mergeCell ref="L124:M124"/>
    <mergeCell ref="N124:O124"/>
    <mergeCell ref="P124:Q124"/>
    <mergeCell ref="R124:S124"/>
    <mergeCell ref="B124:C124"/>
    <mergeCell ref="D124:E124"/>
    <mergeCell ref="F124:G124"/>
    <mergeCell ref="H124:I124"/>
    <mergeCell ref="B115:C115"/>
    <mergeCell ref="D115:E115"/>
    <mergeCell ref="B99:C99"/>
    <mergeCell ref="D99:E99"/>
    <mergeCell ref="F99:G99"/>
    <mergeCell ref="H99:I99"/>
    <mergeCell ref="B27:C27"/>
    <mergeCell ref="D27:E27"/>
    <mergeCell ref="F27:G27"/>
    <mergeCell ref="R27:S27"/>
    <mergeCell ref="T35:U35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B35:C35"/>
    <mergeCell ref="D35:E35"/>
    <mergeCell ref="F35:G35"/>
    <mergeCell ref="H35:I35"/>
    <mergeCell ref="J35:K35"/>
    <mergeCell ref="L35:M35"/>
    <mergeCell ref="N35:O35"/>
    <mergeCell ref="P35:Q35"/>
    <mergeCell ref="F28:G28"/>
    <mergeCell ref="H28:I28"/>
    <mergeCell ref="J28:K28"/>
    <mergeCell ref="L28:M28"/>
    <mergeCell ref="N28:O28"/>
    <mergeCell ref="P28:Q28"/>
    <mergeCell ref="R28:S28"/>
    <mergeCell ref="T28:U28"/>
    <mergeCell ref="R35:S35"/>
    <mergeCell ref="J43:K43"/>
    <mergeCell ref="L43:M43"/>
    <mergeCell ref="N43:O43"/>
    <mergeCell ref="P43:Q43"/>
    <mergeCell ref="R43:S43"/>
    <mergeCell ref="T43:U43"/>
    <mergeCell ref="A44:A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T51:U51"/>
    <mergeCell ref="A52:A53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J59:K59"/>
    <mergeCell ref="L59:M59"/>
    <mergeCell ref="N59:O59"/>
    <mergeCell ref="P59:Q59"/>
    <mergeCell ref="R59:S59"/>
    <mergeCell ref="T59:U59"/>
    <mergeCell ref="A60:A61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T67:U67"/>
    <mergeCell ref="A76:A77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8:U68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H83:I83"/>
    <mergeCell ref="J83:K83"/>
    <mergeCell ref="L83:M83"/>
    <mergeCell ref="N83:O83"/>
    <mergeCell ref="P83:Q83"/>
    <mergeCell ref="R83:S83"/>
    <mergeCell ref="T83:U83"/>
    <mergeCell ref="A84:A85"/>
    <mergeCell ref="B84:C84"/>
    <mergeCell ref="D84:E84"/>
    <mergeCell ref="F84:G84"/>
    <mergeCell ref="H84:I84"/>
    <mergeCell ref="J84:K84"/>
    <mergeCell ref="L84:M84"/>
    <mergeCell ref="N84:O84"/>
    <mergeCell ref="P84:Q84"/>
    <mergeCell ref="R84:S84"/>
    <mergeCell ref="T84:U84"/>
    <mergeCell ref="B83:C83"/>
    <mergeCell ref="D83:E83"/>
    <mergeCell ref="A100:A101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T91:U91"/>
    <mergeCell ref="A92:A93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A108:A109"/>
    <mergeCell ref="B108:C108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T108:U108"/>
    <mergeCell ref="B107:C107"/>
    <mergeCell ref="D107:E107"/>
    <mergeCell ref="F107:G107"/>
    <mergeCell ref="H107:I107"/>
    <mergeCell ref="J107:K107"/>
    <mergeCell ref="L107:M107"/>
    <mergeCell ref="N107:O107"/>
    <mergeCell ref="P107:Q107"/>
    <mergeCell ref="R107:S107"/>
    <mergeCell ref="A132:A133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J115:K115"/>
    <mergeCell ref="L115:M115"/>
    <mergeCell ref="N115:O115"/>
    <mergeCell ref="P115:Q115"/>
    <mergeCell ref="R115:S115"/>
    <mergeCell ref="T115:U115"/>
    <mergeCell ref="A116:A117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A124:A125"/>
    <mergeCell ref="H115:I115"/>
    <mergeCell ref="T139:U139"/>
    <mergeCell ref="D1:G1"/>
    <mergeCell ref="B139:C139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T123:U123"/>
    <mergeCell ref="R132:S132"/>
    <mergeCell ref="T132:U132"/>
    <mergeCell ref="B123:C123"/>
    <mergeCell ref="D123:E123"/>
    <mergeCell ref="F123:G123"/>
    <mergeCell ref="H123:I123"/>
    <mergeCell ref="J123:K123"/>
    <mergeCell ref="L123:M123"/>
    <mergeCell ref="N123:O123"/>
    <mergeCell ref="P123:Q123"/>
    <mergeCell ref="R123:S123"/>
    <mergeCell ref="F115:G115"/>
    <mergeCell ref="T107:U107"/>
    <mergeCell ref="J99:K99"/>
    <mergeCell ref="L99:M99"/>
    <mergeCell ref="N99:O99"/>
    <mergeCell ref="P99:Q99"/>
    <mergeCell ref="R99:S99"/>
    <mergeCell ref="T99:U99"/>
    <mergeCell ref="F83:G83"/>
    <mergeCell ref="R140:S140"/>
    <mergeCell ref="T140:U140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A140:A141"/>
    <mergeCell ref="B140:C140"/>
    <mergeCell ref="D140:E140"/>
    <mergeCell ref="F140:G140"/>
    <mergeCell ref="H140:I140"/>
    <mergeCell ref="J140:K140"/>
    <mergeCell ref="L140:M140"/>
    <mergeCell ref="N140:O140"/>
    <mergeCell ref="P140:Q140"/>
    <mergeCell ref="R148:S148"/>
    <mergeCell ref="T148:U148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A148:A149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56:S156"/>
    <mergeCell ref="T156:U156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A156:A157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64:S164"/>
    <mergeCell ref="T164:U164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A164:A165"/>
    <mergeCell ref="B164:C164"/>
    <mergeCell ref="D164:E164"/>
    <mergeCell ref="F164:G164"/>
    <mergeCell ref="H164:I164"/>
    <mergeCell ref="J164:K164"/>
    <mergeCell ref="L164:M164"/>
    <mergeCell ref="N164:O164"/>
    <mergeCell ref="P164:Q164"/>
    <mergeCell ref="R172:S172"/>
    <mergeCell ref="T172:U172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A172:A173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80:S180"/>
    <mergeCell ref="T180:U180"/>
    <mergeCell ref="B187:C187"/>
    <mergeCell ref="D187:E187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A180:A181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8:S188"/>
    <mergeCell ref="T188:U188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R195:S195"/>
    <mergeCell ref="T195:U195"/>
    <mergeCell ref="A188:A189"/>
    <mergeCell ref="B188:C188"/>
    <mergeCell ref="D188:E188"/>
    <mergeCell ref="F188:G188"/>
    <mergeCell ref="H188:I188"/>
    <mergeCell ref="J188:K188"/>
    <mergeCell ref="L188:M188"/>
    <mergeCell ref="N188:O188"/>
    <mergeCell ref="P188:Q188"/>
    <mergeCell ref="R196:S196"/>
    <mergeCell ref="T196:U196"/>
    <mergeCell ref="B203:C203"/>
    <mergeCell ref="D203:E203"/>
    <mergeCell ref="F203:G203"/>
    <mergeCell ref="H203:I203"/>
    <mergeCell ref="J203:K203"/>
    <mergeCell ref="L203:M203"/>
    <mergeCell ref="N203:O203"/>
    <mergeCell ref="P203:Q203"/>
    <mergeCell ref="R203:S203"/>
    <mergeCell ref="T203:U203"/>
    <mergeCell ref="A196:A197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R204:S204"/>
    <mergeCell ref="T204:U204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A204:A205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R212:S212"/>
    <mergeCell ref="T212:U212"/>
    <mergeCell ref="B219:C219"/>
    <mergeCell ref="D219:E219"/>
    <mergeCell ref="F219:G219"/>
    <mergeCell ref="H219:I219"/>
    <mergeCell ref="J219:K219"/>
    <mergeCell ref="L219:M219"/>
    <mergeCell ref="N219:O219"/>
    <mergeCell ref="P219:Q219"/>
    <mergeCell ref="R219:S219"/>
    <mergeCell ref="T219:U219"/>
    <mergeCell ref="A212:A213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R220:S220"/>
    <mergeCell ref="T220:U220"/>
    <mergeCell ref="B227:C227"/>
    <mergeCell ref="D227:E227"/>
    <mergeCell ref="F227:G227"/>
    <mergeCell ref="H227:I227"/>
    <mergeCell ref="J227:K227"/>
    <mergeCell ref="L227:M227"/>
    <mergeCell ref="N227:O227"/>
    <mergeCell ref="P227:Q227"/>
    <mergeCell ref="R227:S227"/>
    <mergeCell ref="T227:U227"/>
    <mergeCell ref="A220:A221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8:S228"/>
    <mergeCell ref="T228:U228"/>
    <mergeCell ref="B235:C235"/>
    <mergeCell ref="D235:E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A228:A229"/>
    <mergeCell ref="B228:C228"/>
    <mergeCell ref="D228:E228"/>
    <mergeCell ref="F228:G228"/>
    <mergeCell ref="H228:I228"/>
    <mergeCell ref="J228:K228"/>
    <mergeCell ref="L228:M228"/>
    <mergeCell ref="N228:O228"/>
    <mergeCell ref="P228:Q228"/>
    <mergeCell ref="R236:S236"/>
    <mergeCell ref="T236:U236"/>
    <mergeCell ref="B243:C243"/>
    <mergeCell ref="D243:E243"/>
    <mergeCell ref="F243:G243"/>
    <mergeCell ref="H243:I243"/>
    <mergeCell ref="J243:K243"/>
    <mergeCell ref="L243:M243"/>
    <mergeCell ref="N243:O243"/>
    <mergeCell ref="P243:Q243"/>
    <mergeCell ref="R243:S243"/>
    <mergeCell ref="T243:U243"/>
    <mergeCell ref="A236:A237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44:S244"/>
    <mergeCell ref="T244:U244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A244:A245"/>
    <mergeCell ref="B244:C244"/>
    <mergeCell ref="D244:E244"/>
    <mergeCell ref="F244:G244"/>
    <mergeCell ref="H244:I244"/>
    <mergeCell ref="J244:K244"/>
    <mergeCell ref="L244:M244"/>
    <mergeCell ref="N244:O244"/>
    <mergeCell ref="P244:Q244"/>
    <mergeCell ref="R252:S252"/>
    <mergeCell ref="T252:U252"/>
    <mergeCell ref="B259:C259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A252:A253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60:S260"/>
    <mergeCell ref="T260:U260"/>
    <mergeCell ref="B267:C267"/>
    <mergeCell ref="D267:E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A260:A261"/>
    <mergeCell ref="B260:C260"/>
    <mergeCell ref="D260:E260"/>
    <mergeCell ref="F260:G260"/>
    <mergeCell ref="H260:I260"/>
    <mergeCell ref="J260:K260"/>
    <mergeCell ref="L260:M260"/>
    <mergeCell ref="N260:O260"/>
    <mergeCell ref="P260:Q260"/>
    <mergeCell ref="R268:S268"/>
    <mergeCell ref="T268:U268"/>
    <mergeCell ref="B275:C275"/>
    <mergeCell ref="D275:E275"/>
    <mergeCell ref="F275:G275"/>
    <mergeCell ref="H275:I275"/>
    <mergeCell ref="J275:K275"/>
    <mergeCell ref="L275:M275"/>
    <mergeCell ref="N275:O275"/>
    <mergeCell ref="P275:Q275"/>
    <mergeCell ref="R275:S275"/>
    <mergeCell ref="T275:U275"/>
    <mergeCell ref="A268:A269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R276:S276"/>
    <mergeCell ref="T276:U276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A276:A277"/>
    <mergeCell ref="B276:C276"/>
    <mergeCell ref="D276:E276"/>
    <mergeCell ref="F276:G276"/>
    <mergeCell ref="H276:I276"/>
    <mergeCell ref="J276:K276"/>
    <mergeCell ref="L276:M276"/>
    <mergeCell ref="N276:O276"/>
    <mergeCell ref="P276:Q276"/>
    <mergeCell ref="R284:S284"/>
    <mergeCell ref="T284:U284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A284:A285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92:S292"/>
    <mergeCell ref="T292:U292"/>
    <mergeCell ref="B299:C299"/>
    <mergeCell ref="D299:E299"/>
    <mergeCell ref="F299:G299"/>
    <mergeCell ref="H299:I299"/>
    <mergeCell ref="J299:K299"/>
    <mergeCell ref="L299:M299"/>
    <mergeCell ref="N299:O299"/>
    <mergeCell ref="P299:Q299"/>
    <mergeCell ref="R299:S299"/>
    <mergeCell ref="T299:U299"/>
    <mergeCell ref="A292:A293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R300:S300"/>
    <mergeCell ref="T300:U300"/>
    <mergeCell ref="B307:C307"/>
    <mergeCell ref="D307:E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A300:A301"/>
    <mergeCell ref="B300:C300"/>
    <mergeCell ref="D300:E300"/>
    <mergeCell ref="F300:G300"/>
    <mergeCell ref="H300:I300"/>
    <mergeCell ref="J300:K300"/>
    <mergeCell ref="L300:M300"/>
    <mergeCell ref="N300:O300"/>
    <mergeCell ref="P300:Q300"/>
    <mergeCell ref="R308:S308"/>
    <mergeCell ref="T308:U308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A308:A309"/>
    <mergeCell ref="B308:C308"/>
    <mergeCell ref="D308:E308"/>
    <mergeCell ref="F308:G308"/>
    <mergeCell ref="H308:I308"/>
    <mergeCell ref="J308:K308"/>
    <mergeCell ref="L308:M308"/>
    <mergeCell ref="N308:O308"/>
    <mergeCell ref="P308:Q308"/>
    <mergeCell ref="R316:S316"/>
    <mergeCell ref="T316:U316"/>
    <mergeCell ref="B323:C323"/>
    <mergeCell ref="D323:E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A316:A317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24:S324"/>
    <mergeCell ref="T324:U324"/>
    <mergeCell ref="B331:C331"/>
    <mergeCell ref="D331:E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A324:A325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32:S332"/>
    <mergeCell ref="T332:U332"/>
    <mergeCell ref="B339:C339"/>
    <mergeCell ref="D339:E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A332:A333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V51:W51"/>
    <mergeCell ref="V52:W52"/>
    <mergeCell ref="V59:W59"/>
    <mergeCell ref="V60:W60"/>
    <mergeCell ref="V67:W67"/>
    <mergeCell ref="V68:W68"/>
    <mergeCell ref="V75:W75"/>
    <mergeCell ref="V76:W76"/>
    <mergeCell ref="V83:W83"/>
    <mergeCell ref="V2:W2"/>
    <mergeCell ref="V18:W18"/>
    <mergeCell ref="V20:W20"/>
    <mergeCell ref="V27:W27"/>
    <mergeCell ref="V28:W28"/>
    <mergeCell ref="V35:W35"/>
    <mergeCell ref="V36:W36"/>
    <mergeCell ref="V43:W43"/>
    <mergeCell ref="V44:W44"/>
    <mergeCell ref="V123:W123"/>
    <mergeCell ref="V124:W124"/>
    <mergeCell ref="V131:W131"/>
    <mergeCell ref="V132:W132"/>
    <mergeCell ref="V139:W139"/>
    <mergeCell ref="V140:W140"/>
    <mergeCell ref="V147:W147"/>
    <mergeCell ref="V148:W148"/>
    <mergeCell ref="V155:W155"/>
    <mergeCell ref="V84:W84"/>
    <mergeCell ref="V91:W91"/>
    <mergeCell ref="V92:W92"/>
    <mergeCell ref="V99:W99"/>
    <mergeCell ref="V100:W100"/>
    <mergeCell ref="V107:W107"/>
    <mergeCell ref="V108:W108"/>
    <mergeCell ref="V115:W115"/>
    <mergeCell ref="V116:W116"/>
    <mergeCell ref="V244:W244"/>
    <mergeCell ref="V251:W251"/>
    <mergeCell ref="V252:W252"/>
    <mergeCell ref="V259:W259"/>
    <mergeCell ref="V260:W260"/>
    <mergeCell ref="V195:W195"/>
    <mergeCell ref="V196:W196"/>
    <mergeCell ref="V203:W203"/>
    <mergeCell ref="V204:W204"/>
    <mergeCell ref="V211:W211"/>
    <mergeCell ref="V212:W212"/>
    <mergeCell ref="V219:W219"/>
    <mergeCell ref="V220:W220"/>
    <mergeCell ref="V227:W227"/>
    <mergeCell ref="V156:W156"/>
    <mergeCell ref="V163:W163"/>
    <mergeCell ref="V164:W164"/>
    <mergeCell ref="V171:W171"/>
    <mergeCell ref="V172:W172"/>
    <mergeCell ref="V179:W179"/>
    <mergeCell ref="V180:W180"/>
    <mergeCell ref="V187:W187"/>
    <mergeCell ref="V188:W188"/>
    <mergeCell ref="X107:Y107"/>
    <mergeCell ref="X108:Y108"/>
    <mergeCell ref="X115:Y115"/>
    <mergeCell ref="X116:Y116"/>
    <mergeCell ref="X123:Y123"/>
    <mergeCell ref="X124:Y124"/>
    <mergeCell ref="X131:Y131"/>
    <mergeCell ref="X132:Y132"/>
    <mergeCell ref="X139:Y139"/>
    <mergeCell ref="V339:W339"/>
    <mergeCell ref="V300:W300"/>
    <mergeCell ref="V307:W307"/>
    <mergeCell ref="V308:W308"/>
    <mergeCell ref="V315:W315"/>
    <mergeCell ref="V316:W316"/>
    <mergeCell ref="V323:W323"/>
    <mergeCell ref="V324:W324"/>
    <mergeCell ref="V331:W331"/>
    <mergeCell ref="V332:W332"/>
    <mergeCell ref="V267:W267"/>
    <mergeCell ref="V268:W268"/>
    <mergeCell ref="V275:W275"/>
    <mergeCell ref="V276:W276"/>
    <mergeCell ref="V283:W283"/>
    <mergeCell ref="V284:W284"/>
    <mergeCell ref="V291:W291"/>
    <mergeCell ref="V292:W292"/>
    <mergeCell ref="V299:W299"/>
    <mergeCell ref="V228:W228"/>
    <mergeCell ref="V235:W235"/>
    <mergeCell ref="V236:W236"/>
    <mergeCell ref="V243:W243"/>
    <mergeCell ref="X179:Y179"/>
    <mergeCell ref="X180:Y180"/>
    <mergeCell ref="X187:Y187"/>
    <mergeCell ref="X188:Y188"/>
    <mergeCell ref="X195:Y195"/>
    <mergeCell ref="X196:Y196"/>
    <mergeCell ref="X203:Y203"/>
    <mergeCell ref="X204:Y204"/>
    <mergeCell ref="X211:Y211"/>
    <mergeCell ref="X140:Y140"/>
    <mergeCell ref="X147:Y147"/>
    <mergeCell ref="X148:Y148"/>
    <mergeCell ref="X155:Y155"/>
    <mergeCell ref="X156:Y156"/>
    <mergeCell ref="X163:Y163"/>
    <mergeCell ref="X164:Y164"/>
    <mergeCell ref="X171:Y171"/>
    <mergeCell ref="X172:Y172"/>
    <mergeCell ref="X300:Y300"/>
    <mergeCell ref="X307:Y307"/>
    <mergeCell ref="X308:Y308"/>
    <mergeCell ref="X315:Y315"/>
    <mergeCell ref="X316:Y316"/>
    <mergeCell ref="X251:Y251"/>
    <mergeCell ref="X252:Y252"/>
    <mergeCell ref="X259:Y259"/>
    <mergeCell ref="X260:Y260"/>
    <mergeCell ref="X267:Y267"/>
    <mergeCell ref="X268:Y268"/>
    <mergeCell ref="X275:Y275"/>
    <mergeCell ref="X276:Y276"/>
    <mergeCell ref="X283:Y283"/>
    <mergeCell ref="X212:Y212"/>
    <mergeCell ref="X219:Y219"/>
    <mergeCell ref="X220:Y220"/>
    <mergeCell ref="X227:Y227"/>
    <mergeCell ref="X228:Y228"/>
    <mergeCell ref="X235:Y235"/>
    <mergeCell ref="X236:Y236"/>
    <mergeCell ref="X243:Y243"/>
    <mergeCell ref="X244:Y244"/>
    <mergeCell ref="X91:Y91"/>
    <mergeCell ref="X92:Y92"/>
    <mergeCell ref="X99:Y99"/>
    <mergeCell ref="X100:Y100"/>
    <mergeCell ref="X323:Y323"/>
    <mergeCell ref="X324:Y324"/>
    <mergeCell ref="X331:Y331"/>
    <mergeCell ref="X332:Y332"/>
    <mergeCell ref="X339:Y339"/>
    <mergeCell ref="X2:Y2"/>
    <mergeCell ref="X18:Y18"/>
    <mergeCell ref="X20:Y20"/>
    <mergeCell ref="X27:Y27"/>
    <mergeCell ref="X28:Y28"/>
    <mergeCell ref="X35:Y35"/>
    <mergeCell ref="X36:Y36"/>
    <mergeCell ref="X43:Y43"/>
    <mergeCell ref="X44:Y44"/>
    <mergeCell ref="X51:Y51"/>
    <mergeCell ref="X52:Y52"/>
    <mergeCell ref="X59:Y59"/>
    <mergeCell ref="X60:Y60"/>
    <mergeCell ref="X67:Y67"/>
    <mergeCell ref="X68:Y68"/>
    <mergeCell ref="X75:Y75"/>
    <mergeCell ref="X76:Y76"/>
    <mergeCell ref="X83:Y83"/>
    <mergeCell ref="X84:Y84"/>
    <mergeCell ref="X284:Y284"/>
    <mergeCell ref="X291:Y291"/>
    <mergeCell ref="X292:Y292"/>
    <mergeCell ref="X299:Y299"/>
  </mergeCells>
  <phoneticPr fontId="2"/>
  <pageMargins left="3.937007874015748E-2" right="3.937007874015748E-2" top="0.74803149606299213" bottom="0.74803149606299213" header="0.31496062992125984" footer="0.31496062992125984"/>
  <pageSetup paperSize="8" scale="90" orientation="landscape" r:id="rId1"/>
  <rowBreaks count="1" manualBreakCount="1">
    <brk id="90" max="26" man="1"/>
  </rowBreaks>
  <colBreaks count="1" manualBreakCount="1">
    <brk id="27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C17D54E-C214-4E26-A7C0-06084DDFC13A}">
            <xm:f>$AA$17&lt;&gt;工事台帳ＮＥＷ!#REF!</xm:f>
            <x14:dxf>
              <fill>
                <patternFill>
                  <bgColor rgb="FFFF0000"/>
                </patternFill>
              </fill>
            </x14:dxf>
          </x14:cfRule>
          <xm:sqref>AA17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BD07-E6A9-4344-9F86-87E39DE1AAE0}">
  <sheetPr codeName="Sheet1">
    <tabColor rgb="FF92D050"/>
  </sheetPr>
  <dimension ref="A1:Y36"/>
  <sheetViews>
    <sheetView showGridLines="0" showZeros="0" topLeftCell="C1" zoomScale="85" zoomScaleNormal="85" zoomScaleSheetLayoutView="85" workbookViewId="0">
      <selection activeCell="P5" sqref="P5:V6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65" t="s">
        <v>238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66" t="s">
        <v>239</v>
      </c>
      <c r="Q2" s="467"/>
      <c r="R2" s="468">
        <v>46081</v>
      </c>
      <c r="S2" s="469"/>
      <c r="T2" s="469"/>
      <c r="U2" s="469"/>
      <c r="V2" s="470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71" t="s">
        <v>240</v>
      </c>
      <c r="Q3" s="472"/>
      <c r="R3" s="473" t="s">
        <v>290</v>
      </c>
      <c r="S3" s="474"/>
      <c r="T3" s="475" t="s">
        <v>291</v>
      </c>
      <c r="U3" s="475"/>
      <c r="V3" s="476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59" t="s">
        <v>242</v>
      </c>
      <c r="D5" s="459"/>
      <c r="E5" s="459"/>
      <c r="F5" s="459"/>
      <c r="G5" s="459"/>
      <c r="H5" s="178"/>
      <c r="I5" s="178"/>
      <c r="J5" s="178"/>
      <c r="O5" s="460" t="s">
        <v>243</v>
      </c>
      <c r="P5" s="461" t="s">
        <v>292</v>
      </c>
      <c r="Q5" s="461"/>
      <c r="R5" s="461"/>
      <c r="S5" s="461"/>
      <c r="T5" s="461"/>
      <c r="U5" s="461"/>
      <c r="V5" s="461"/>
    </row>
    <row r="6" spans="2:25" ht="18" customHeight="1">
      <c r="C6" s="462" t="s">
        <v>245</v>
      </c>
      <c r="D6" s="462"/>
      <c r="E6" s="462"/>
      <c r="F6" s="462"/>
      <c r="G6" s="462"/>
      <c r="H6" s="462"/>
      <c r="I6" s="180"/>
      <c r="J6" s="180"/>
      <c r="O6" s="460"/>
      <c r="P6" s="461"/>
      <c r="Q6" s="461"/>
      <c r="R6" s="461"/>
      <c r="S6" s="461"/>
      <c r="T6" s="461"/>
      <c r="U6" s="461"/>
      <c r="V6" s="461"/>
    </row>
    <row r="7" spans="2:25" ht="16.5" customHeight="1">
      <c r="C7" s="178"/>
      <c r="D7" s="178"/>
      <c r="E7" s="178"/>
      <c r="F7" s="180"/>
      <c r="G7" s="180"/>
      <c r="H7" s="180"/>
      <c r="I7" s="180"/>
      <c r="J7" s="180"/>
      <c r="K7" s="143"/>
      <c r="L7" s="143"/>
      <c r="M7" s="144"/>
      <c r="N7" s="144"/>
      <c r="O7" s="460" t="s">
        <v>246</v>
      </c>
      <c r="P7" s="463" t="s">
        <v>293</v>
      </c>
      <c r="Q7" s="463"/>
      <c r="R7" s="463"/>
      <c r="S7" s="463"/>
      <c r="T7" s="463"/>
      <c r="U7" s="463"/>
      <c r="V7" s="463"/>
    </row>
    <row r="8" spans="2:25" ht="18" customHeight="1">
      <c r="C8" s="464" t="s">
        <v>248</v>
      </c>
      <c r="D8" s="464"/>
      <c r="E8" s="464"/>
      <c r="F8" s="464"/>
      <c r="G8" s="464"/>
      <c r="H8" s="464"/>
      <c r="I8" s="178"/>
      <c r="J8" s="178"/>
      <c r="L8" s="145"/>
      <c r="M8" s="145"/>
      <c r="N8" s="145"/>
      <c r="O8" s="460"/>
      <c r="P8" s="463"/>
      <c r="Q8" s="463"/>
      <c r="R8" s="463"/>
      <c r="S8" s="463"/>
      <c r="T8" s="463"/>
      <c r="U8" s="463"/>
      <c r="V8" s="463"/>
    </row>
    <row r="9" spans="2:25" ht="18" customHeight="1">
      <c r="C9" s="178"/>
      <c r="D9" s="178"/>
      <c r="E9" s="178"/>
      <c r="F9" s="178"/>
      <c r="G9" s="178"/>
      <c r="H9" s="178"/>
      <c r="I9" s="178"/>
      <c r="J9" s="178"/>
      <c r="O9" s="179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60" t="s">
        <v>251</v>
      </c>
      <c r="D10" s="460"/>
      <c r="E10" s="460"/>
      <c r="F10" s="460"/>
      <c r="G10" s="460"/>
      <c r="H10" s="460"/>
      <c r="I10" s="178"/>
      <c r="J10" s="178"/>
      <c r="L10" s="145"/>
      <c r="M10" s="145"/>
      <c r="N10" s="145"/>
      <c r="O10" s="179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>
      <c r="C11" s="178"/>
      <c r="D11" s="178"/>
      <c r="E11" s="178"/>
      <c r="F11" s="178"/>
      <c r="G11" s="178"/>
      <c r="H11" s="178"/>
      <c r="I11" s="178"/>
      <c r="J11" s="178"/>
      <c r="O11" s="178"/>
    </row>
    <row r="12" spans="2:25" ht="15" customHeight="1" thickBot="1">
      <c r="C12" s="445" t="s">
        <v>254</v>
      </c>
      <c r="D12" s="446"/>
      <c r="E12" s="449">
        <f>P35</f>
        <v>4730000</v>
      </c>
      <c r="F12" s="450"/>
      <c r="G12" s="450"/>
      <c r="H12" s="450"/>
      <c r="I12" s="450"/>
      <c r="J12" s="451"/>
      <c r="N12" s="145"/>
      <c r="O12" s="178" t="s">
        <v>255</v>
      </c>
    </row>
    <row r="13" spans="2:25" ht="24" customHeight="1" thickBot="1">
      <c r="C13" s="447"/>
      <c r="D13" s="448"/>
      <c r="E13" s="452"/>
      <c r="F13" s="453"/>
      <c r="G13" s="453"/>
      <c r="H13" s="453"/>
      <c r="I13" s="453"/>
      <c r="J13" s="454"/>
      <c r="N13" s="145"/>
      <c r="O13" s="181" t="s">
        <v>256</v>
      </c>
      <c r="P13" s="455" t="s">
        <v>257</v>
      </c>
      <c r="Q13" s="455"/>
      <c r="R13" s="182" t="s">
        <v>258</v>
      </c>
      <c r="S13" s="456" t="s">
        <v>259</v>
      </c>
      <c r="T13" s="457"/>
      <c r="U13" s="457"/>
      <c r="V13" s="458"/>
    </row>
    <row r="14" spans="2:25" ht="24" customHeight="1">
      <c r="O14" s="183" t="s">
        <v>260</v>
      </c>
      <c r="P14" s="430" t="s">
        <v>261</v>
      </c>
      <c r="Q14" s="430"/>
      <c r="R14" s="184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34"/>
      <c r="E15" s="434"/>
      <c r="F15" s="151"/>
      <c r="O15" s="435" t="s">
        <v>263</v>
      </c>
      <c r="P15" s="185" t="s">
        <v>264</v>
      </c>
      <c r="Q15" s="437" t="s">
        <v>265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34"/>
      <c r="E16" s="434"/>
      <c r="F16" s="151"/>
      <c r="J16" s="440" t="s">
        <v>266</v>
      </c>
      <c r="K16" s="440"/>
      <c r="L16" s="441"/>
      <c r="M16" s="441"/>
      <c r="N16" s="441"/>
      <c r="O16" s="436"/>
      <c r="P16" s="186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414" t="s">
        <v>270</v>
      </c>
      <c r="B18" s="415"/>
      <c r="C18" s="415"/>
      <c r="D18" s="415"/>
      <c r="E18" s="415"/>
      <c r="F18" s="416"/>
      <c r="G18" s="187" t="s">
        <v>271</v>
      </c>
      <c r="H18" s="417" t="s">
        <v>272</v>
      </c>
      <c r="I18" s="418"/>
      <c r="J18" s="419"/>
      <c r="K18" s="188" t="s">
        <v>273</v>
      </c>
      <c r="L18" s="420" t="s">
        <v>294</v>
      </c>
      <c r="M18" s="421"/>
      <c r="N18" s="422"/>
      <c r="O18" s="423" t="s">
        <v>275</v>
      </c>
      <c r="P18" s="424"/>
      <c r="Q18" s="189" t="s">
        <v>295</v>
      </c>
      <c r="R18" s="425" t="s">
        <v>296</v>
      </c>
      <c r="S18" s="426"/>
      <c r="T18" s="427"/>
      <c r="U18" s="428" t="s">
        <v>278</v>
      </c>
      <c r="V18" s="429"/>
    </row>
    <row r="19" spans="1:22" ht="21.95" customHeight="1">
      <c r="A19" s="190">
        <v>1</v>
      </c>
      <c r="B19" s="400" t="s">
        <v>279</v>
      </c>
      <c r="C19" s="401"/>
      <c r="D19" s="401"/>
      <c r="E19" s="401"/>
      <c r="F19" s="402"/>
      <c r="G19" s="158" t="s">
        <v>297</v>
      </c>
      <c r="H19" s="403">
        <v>130730000</v>
      </c>
      <c r="I19" s="404"/>
      <c r="J19" s="405"/>
      <c r="K19" s="191">
        <f t="shared" ref="K19:K28" si="0">IFERROR(ROUND(L19/H19,3),"")</f>
        <v>3.3000000000000002E-2</v>
      </c>
      <c r="L19" s="406">
        <v>4300000</v>
      </c>
      <c r="M19" s="406"/>
      <c r="N19" s="407"/>
      <c r="O19" s="408"/>
      <c r="P19" s="409"/>
      <c r="Q19" s="192">
        <f t="shared" ref="Q19:Q28" si="1">IFERROR(ROUND(R19/H19,3),"")</f>
        <v>0.80500000000000005</v>
      </c>
      <c r="R19" s="410">
        <v>105200000</v>
      </c>
      <c r="S19" s="410"/>
      <c r="T19" s="411"/>
      <c r="U19" s="412"/>
      <c r="V19" s="413"/>
    </row>
    <row r="20" spans="1:22" ht="21.95" customHeight="1">
      <c r="A20" s="193">
        <v>2</v>
      </c>
      <c r="B20" s="399"/>
      <c r="C20" s="386"/>
      <c r="D20" s="386"/>
      <c r="E20" s="386"/>
      <c r="F20" s="387"/>
      <c r="G20" s="162"/>
      <c r="H20" s="388"/>
      <c r="I20" s="389"/>
      <c r="J20" s="390"/>
      <c r="K20" s="194" t="str">
        <f t="shared" si="0"/>
        <v/>
      </c>
      <c r="L20" s="391"/>
      <c r="M20" s="391"/>
      <c r="N20" s="392"/>
      <c r="O20" s="393"/>
      <c r="P20" s="394"/>
      <c r="Q20" s="195" t="str">
        <f t="shared" si="1"/>
        <v/>
      </c>
      <c r="R20" s="395"/>
      <c r="S20" s="395"/>
      <c r="T20" s="396"/>
      <c r="U20" s="397"/>
      <c r="V20" s="398"/>
    </row>
    <row r="21" spans="1:22" ht="21.95" customHeight="1">
      <c r="A21" s="193">
        <v>3</v>
      </c>
      <c r="B21" s="386"/>
      <c r="C21" s="386"/>
      <c r="D21" s="386"/>
      <c r="E21" s="386"/>
      <c r="F21" s="387"/>
      <c r="G21" s="162"/>
      <c r="H21" s="388"/>
      <c r="I21" s="389"/>
      <c r="J21" s="390"/>
      <c r="K21" s="194" t="str">
        <f t="shared" si="0"/>
        <v/>
      </c>
      <c r="L21" s="391"/>
      <c r="M21" s="391"/>
      <c r="N21" s="392"/>
      <c r="O21" s="393"/>
      <c r="P21" s="394"/>
      <c r="Q21" s="195" t="str">
        <f t="shared" si="1"/>
        <v/>
      </c>
      <c r="R21" s="395"/>
      <c r="S21" s="395"/>
      <c r="T21" s="396"/>
      <c r="U21" s="397"/>
      <c r="V21" s="398"/>
    </row>
    <row r="22" spans="1:22" ht="21.95" customHeight="1">
      <c r="A22" s="193">
        <v>4</v>
      </c>
      <c r="B22" s="386"/>
      <c r="C22" s="386"/>
      <c r="D22" s="386"/>
      <c r="E22" s="386"/>
      <c r="F22" s="387"/>
      <c r="G22" s="162"/>
      <c r="H22" s="388"/>
      <c r="I22" s="389"/>
      <c r="J22" s="390"/>
      <c r="K22" s="194" t="str">
        <f t="shared" si="0"/>
        <v/>
      </c>
      <c r="L22" s="391"/>
      <c r="M22" s="391"/>
      <c r="N22" s="392"/>
      <c r="O22" s="393"/>
      <c r="P22" s="394"/>
      <c r="Q22" s="195" t="str">
        <f t="shared" si="1"/>
        <v/>
      </c>
      <c r="R22" s="395"/>
      <c r="S22" s="395"/>
      <c r="T22" s="396"/>
      <c r="U22" s="397"/>
      <c r="V22" s="398"/>
    </row>
    <row r="23" spans="1:22" ht="21.95" customHeight="1">
      <c r="A23" s="193">
        <v>5</v>
      </c>
      <c r="B23" s="386"/>
      <c r="C23" s="386"/>
      <c r="D23" s="386"/>
      <c r="E23" s="386"/>
      <c r="F23" s="387"/>
      <c r="G23" s="162"/>
      <c r="H23" s="388"/>
      <c r="I23" s="389"/>
      <c r="J23" s="390"/>
      <c r="K23" s="194" t="str">
        <f t="shared" si="0"/>
        <v/>
      </c>
      <c r="L23" s="391"/>
      <c r="M23" s="391"/>
      <c r="N23" s="392"/>
      <c r="O23" s="393"/>
      <c r="P23" s="394"/>
      <c r="Q23" s="195" t="str">
        <f t="shared" si="1"/>
        <v/>
      </c>
      <c r="R23" s="395"/>
      <c r="S23" s="395"/>
      <c r="T23" s="396"/>
      <c r="U23" s="397"/>
      <c r="V23" s="398"/>
    </row>
    <row r="24" spans="1:22" ht="21.95" customHeight="1">
      <c r="A24" s="193">
        <v>6</v>
      </c>
      <c r="B24" s="386"/>
      <c r="C24" s="386"/>
      <c r="D24" s="386"/>
      <c r="E24" s="386"/>
      <c r="F24" s="387"/>
      <c r="G24" s="162"/>
      <c r="H24" s="388"/>
      <c r="I24" s="389"/>
      <c r="J24" s="390"/>
      <c r="K24" s="194" t="str">
        <f t="shared" si="0"/>
        <v/>
      </c>
      <c r="L24" s="391"/>
      <c r="M24" s="391"/>
      <c r="N24" s="392"/>
      <c r="O24" s="393"/>
      <c r="P24" s="394"/>
      <c r="Q24" s="195" t="str">
        <f t="shared" si="1"/>
        <v/>
      </c>
      <c r="R24" s="395"/>
      <c r="S24" s="395"/>
      <c r="T24" s="396"/>
      <c r="U24" s="397"/>
      <c r="V24" s="398"/>
    </row>
    <row r="25" spans="1:22" ht="21.95" customHeight="1">
      <c r="A25" s="193">
        <v>7</v>
      </c>
      <c r="B25" s="386"/>
      <c r="C25" s="386"/>
      <c r="D25" s="386"/>
      <c r="E25" s="386"/>
      <c r="F25" s="387"/>
      <c r="G25" s="162"/>
      <c r="H25" s="388"/>
      <c r="I25" s="389"/>
      <c r="J25" s="390"/>
      <c r="K25" s="194" t="str">
        <f t="shared" si="0"/>
        <v/>
      </c>
      <c r="L25" s="391"/>
      <c r="M25" s="391"/>
      <c r="N25" s="392"/>
      <c r="O25" s="393"/>
      <c r="P25" s="394"/>
      <c r="Q25" s="195" t="str">
        <f t="shared" si="1"/>
        <v/>
      </c>
      <c r="R25" s="395"/>
      <c r="S25" s="395"/>
      <c r="T25" s="396"/>
      <c r="U25" s="397"/>
      <c r="V25" s="398"/>
    </row>
    <row r="26" spans="1:22" ht="21.95" customHeight="1">
      <c r="A26" s="193">
        <v>8</v>
      </c>
      <c r="B26" s="386"/>
      <c r="C26" s="386"/>
      <c r="D26" s="386"/>
      <c r="E26" s="386"/>
      <c r="F26" s="387"/>
      <c r="G26" s="162"/>
      <c r="H26" s="388"/>
      <c r="I26" s="389"/>
      <c r="J26" s="390"/>
      <c r="K26" s="194" t="str">
        <f t="shared" si="0"/>
        <v/>
      </c>
      <c r="L26" s="391"/>
      <c r="M26" s="391"/>
      <c r="N26" s="392"/>
      <c r="O26" s="393"/>
      <c r="P26" s="394"/>
      <c r="Q26" s="195" t="str">
        <f t="shared" si="1"/>
        <v/>
      </c>
      <c r="R26" s="395"/>
      <c r="S26" s="395"/>
      <c r="T26" s="396"/>
      <c r="U26" s="397"/>
      <c r="V26" s="398"/>
    </row>
    <row r="27" spans="1:22" ht="21.95" customHeight="1">
      <c r="A27" s="193">
        <v>9</v>
      </c>
      <c r="B27" s="386"/>
      <c r="C27" s="386"/>
      <c r="D27" s="386"/>
      <c r="E27" s="386"/>
      <c r="F27" s="387"/>
      <c r="G27" s="162"/>
      <c r="H27" s="388"/>
      <c r="I27" s="389"/>
      <c r="J27" s="390"/>
      <c r="K27" s="194" t="str">
        <f t="shared" si="0"/>
        <v/>
      </c>
      <c r="L27" s="391"/>
      <c r="M27" s="391"/>
      <c r="N27" s="392"/>
      <c r="O27" s="393"/>
      <c r="P27" s="394"/>
      <c r="Q27" s="195" t="str">
        <f t="shared" si="1"/>
        <v/>
      </c>
      <c r="R27" s="395"/>
      <c r="S27" s="395"/>
      <c r="T27" s="396"/>
      <c r="U27" s="397"/>
      <c r="V27" s="398"/>
    </row>
    <row r="28" spans="1:22" ht="21.95" customHeight="1" thickBot="1">
      <c r="A28" s="196">
        <v>10</v>
      </c>
      <c r="B28" s="373"/>
      <c r="C28" s="373"/>
      <c r="D28" s="373"/>
      <c r="E28" s="373"/>
      <c r="F28" s="374"/>
      <c r="G28" s="166"/>
      <c r="H28" s="375"/>
      <c r="I28" s="376"/>
      <c r="J28" s="377"/>
      <c r="K28" s="197" t="str">
        <f t="shared" si="0"/>
        <v/>
      </c>
      <c r="L28" s="378"/>
      <c r="M28" s="378"/>
      <c r="N28" s="379"/>
      <c r="O28" s="380"/>
      <c r="P28" s="381"/>
      <c r="Q28" s="198" t="str">
        <f t="shared" si="1"/>
        <v/>
      </c>
      <c r="R28" s="382"/>
      <c r="S28" s="382"/>
      <c r="T28" s="383"/>
      <c r="U28" s="384"/>
      <c r="V28" s="385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357" t="s">
        <v>281</v>
      </c>
      <c r="L30" s="358"/>
      <c r="M30" s="358"/>
      <c r="N30" s="358"/>
      <c r="O30" s="359"/>
      <c r="P30" s="175" t="s">
        <v>282</v>
      </c>
      <c r="Q30" s="360">
        <f>SUM(L19:N28)</f>
        <v>4300000</v>
      </c>
      <c r="R30" s="361"/>
      <c r="S30" s="362" t="s">
        <v>283</v>
      </c>
      <c r="T30" s="363"/>
      <c r="U30" s="364">
        <f>SUM(U19:V28)</f>
        <v>0</v>
      </c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333" t="s">
        <v>284</v>
      </c>
      <c r="L31" s="334"/>
      <c r="M31" s="334"/>
      <c r="N31" s="334"/>
      <c r="O31" s="366"/>
      <c r="P31" s="176" t="s">
        <v>282</v>
      </c>
      <c r="Q31" s="367">
        <f>Q30*0.1</f>
        <v>430000</v>
      </c>
      <c r="R31" s="368"/>
      <c r="S31" s="369" t="s">
        <v>283</v>
      </c>
      <c r="T31" s="370"/>
      <c r="U31" s="371">
        <f>U30*1.08-U30</f>
        <v>0</v>
      </c>
      <c r="V31" s="372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343" t="s">
        <v>285</v>
      </c>
      <c r="L32" s="344"/>
      <c r="M32" s="344"/>
      <c r="N32" s="344"/>
      <c r="O32" s="345"/>
      <c r="P32" s="177" t="s">
        <v>282</v>
      </c>
      <c r="Q32" s="346">
        <f>Q30+Q31</f>
        <v>4730000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352" t="s">
        <v>286</v>
      </c>
      <c r="L33" s="353"/>
      <c r="M33" s="353"/>
      <c r="N33" s="353"/>
      <c r="O33" s="353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333" t="s">
        <v>287</v>
      </c>
      <c r="L34" s="334"/>
      <c r="M34" s="334"/>
      <c r="N34" s="334"/>
      <c r="O34" s="334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338" t="s">
        <v>288</v>
      </c>
      <c r="L35" s="339"/>
      <c r="M35" s="339"/>
      <c r="N35" s="339"/>
      <c r="O35" s="339"/>
      <c r="P35" s="340">
        <f>Q32+U32+P33</f>
        <v>4730000</v>
      </c>
      <c r="Q35" s="341"/>
      <c r="R35" s="341"/>
      <c r="S35" s="341"/>
      <c r="T35" s="341"/>
      <c r="U35" s="341"/>
      <c r="V35" s="342"/>
    </row>
    <row r="36" spans="2:22" ht="13.5" customHeight="1"/>
  </sheetData>
  <sheetProtection algorithmName="SHA-512" hashValue="oFWKqJpz91Pe2ryeiBPuj54bHKVgo+c4qpU7Nyfk0z03d+D/wYVSte0ovfaIkq1uD/piuUEH2LSrAZK6tn4Dbg==" saltValue="ooGqYITCURsFQl+GJw4mwA==" spinCount="100000" sheet="1" formatCells="0" formatColumns="0" formatRows="0" insertColumns="0" selectLockedCells="1"/>
  <mergeCells count="113">
    <mergeCell ref="B1:V1"/>
    <mergeCell ref="P2:Q2"/>
    <mergeCell ref="R2:V2"/>
    <mergeCell ref="P3:Q3"/>
    <mergeCell ref="R3:S3"/>
    <mergeCell ref="T3:V3"/>
    <mergeCell ref="P9:V9"/>
    <mergeCell ref="C10:H10"/>
    <mergeCell ref="P10:V10"/>
    <mergeCell ref="C12:D13"/>
    <mergeCell ref="E12:J13"/>
    <mergeCell ref="P13:Q13"/>
    <mergeCell ref="S13:V13"/>
    <mergeCell ref="C5:G5"/>
    <mergeCell ref="O5:O6"/>
    <mergeCell ref="P5:V6"/>
    <mergeCell ref="C6:H6"/>
    <mergeCell ref="O7:O8"/>
    <mergeCell ref="P7:V8"/>
    <mergeCell ref="C8:H8"/>
    <mergeCell ref="P14:Q14"/>
    <mergeCell ref="S14:V14"/>
    <mergeCell ref="D15:E15"/>
    <mergeCell ref="O15:O16"/>
    <mergeCell ref="Q15:V15"/>
    <mergeCell ref="D16:E16"/>
    <mergeCell ref="J16:K16"/>
    <mergeCell ref="L16:N16"/>
    <mergeCell ref="Q16:V16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</mergeCells>
  <phoneticPr fontId="2"/>
  <dataValidations count="1">
    <dataValidation type="list" allowBlank="1" showInputMessage="1" showErrorMessage="1" sqref="G19:G28" xr:uid="{6CDEA366-37C7-4D42-9F87-6CB2618CDF74}">
      <formula1>"請負,常用"</formula1>
    </dataValidation>
  </dataValidations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4500-88D6-416A-ADB5-978CCD14FC39}">
  <sheetPr codeName="Sheet1">
    <tabColor rgb="FF92D050"/>
  </sheetPr>
  <dimension ref="A1:Y36"/>
  <sheetViews>
    <sheetView showGridLines="0" showZeros="0" topLeftCell="A6" zoomScale="85" zoomScaleNormal="85" zoomScaleSheetLayoutView="85" workbookViewId="0">
      <selection activeCell="L27" sqref="L27:N27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65" t="s">
        <v>238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66" t="s">
        <v>239</v>
      </c>
      <c r="Q2" s="467"/>
      <c r="R2" s="468">
        <v>46022</v>
      </c>
      <c r="S2" s="469"/>
      <c r="T2" s="469"/>
      <c r="U2" s="469"/>
      <c r="V2" s="470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71" t="s">
        <v>240</v>
      </c>
      <c r="Q3" s="472"/>
      <c r="R3" s="473" t="s">
        <v>290</v>
      </c>
      <c r="S3" s="474"/>
      <c r="T3" s="475" t="s">
        <v>291</v>
      </c>
      <c r="U3" s="475"/>
      <c r="V3" s="476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59" t="s">
        <v>242</v>
      </c>
      <c r="D5" s="459"/>
      <c r="E5" s="459"/>
      <c r="F5" s="459"/>
      <c r="G5" s="459"/>
      <c r="H5" s="178"/>
      <c r="I5" s="178"/>
      <c r="J5" s="178"/>
      <c r="O5" s="460" t="s">
        <v>243</v>
      </c>
      <c r="P5" s="461" t="s">
        <v>292</v>
      </c>
      <c r="Q5" s="461"/>
      <c r="R5" s="461"/>
      <c r="S5" s="461"/>
      <c r="T5" s="461"/>
      <c r="U5" s="461"/>
      <c r="V5" s="461"/>
    </row>
    <row r="6" spans="2:25" ht="18" customHeight="1">
      <c r="C6" s="462" t="s">
        <v>245</v>
      </c>
      <c r="D6" s="462"/>
      <c r="E6" s="462"/>
      <c r="F6" s="462"/>
      <c r="G6" s="462"/>
      <c r="H6" s="462"/>
      <c r="I6" s="180"/>
      <c r="J6" s="180"/>
      <c r="O6" s="460"/>
      <c r="P6" s="461"/>
      <c r="Q6" s="461"/>
      <c r="R6" s="461"/>
      <c r="S6" s="461"/>
      <c r="T6" s="461"/>
      <c r="U6" s="461"/>
      <c r="V6" s="461"/>
    </row>
    <row r="7" spans="2:25" ht="16.5" customHeight="1">
      <c r="C7" s="178"/>
      <c r="D7" s="178"/>
      <c r="E7" s="178"/>
      <c r="F7" s="180"/>
      <c r="G7" s="180"/>
      <c r="H7" s="180"/>
      <c r="I7" s="180"/>
      <c r="J7" s="180"/>
      <c r="K7" s="143"/>
      <c r="L7" s="143"/>
      <c r="M7" s="144"/>
      <c r="N7" s="144"/>
      <c r="O7" s="460" t="s">
        <v>246</v>
      </c>
      <c r="P7" s="463" t="s">
        <v>293</v>
      </c>
      <c r="Q7" s="463"/>
      <c r="R7" s="463"/>
      <c r="S7" s="463"/>
      <c r="T7" s="463"/>
      <c r="U7" s="463"/>
      <c r="V7" s="463"/>
    </row>
    <row r="8" spans="2:25" ht="18" customHeight="1">
      <c r="C8" s="464" t="s">
        <v>248</v>
      </c>
      <c r="D8" s="464"/>
      <c r="E8" s="464"/>
      <c r="F8" s="464"/>
      <c r="G8" s="464"/>
      <c r="H8" s="464"/>
      <c r="I8" s="178"/>
      <c r="J8" s="178"/>
      <c r="L8" s="145"/>
      <c r="M8" s="145"/>
      <c r="N8" s="145"/>
      <c r="O8" s="460"/>
      <c r="P8" s="463"/>
      <c r="Q8" s="463"/>
      <c r="R8" s="463"/>
      <c r="S8" s="463"/>
      <c r="T8" s="463"/>
      <c r="U8" s="463"/>
      <c r="V8" s="463"/>
    </row>
    <row r="9" spans="2:25" ht="18" customHeight="1">
      <c r="C9" s="178"/>
      <c r="D9" s="178"/>
      <c r="E9" s="178"/>
      <c r="F9" s="178"/>
      <c r="G9" s="178"/>
      <c r="H9" s="178"/>
      <c r="I9" s="178"/>
      <c r="J9" s="178"/>
      <c r="O9" s="179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60" t="s">
        <v>251</v>
      </c>
      <c r="D10" s="460"/>
      <c r="E10" s="460"/>
      <c r="F10" s="460"/>
      <c r="G10" s="460"/>
      <c r="H10" s="460"/>
      <c r="I10" s="178"/>
      <c r="J10" s="178"/>
      <c r="L10" s="145"/>
      <c r="M10" s="145"/>
      <c r="N10" s="145"/>
      <c r="O10" s="179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>
      <c r="C11" s="178"/>
      <c r="D11" s="178"/>
      <c r="E11" s="178"/>
      <c r="F11" s="178"/>
      <c r="G11" s="178"/>
      <c r="H11" s="178"/>
      <c r="I11" s="178"/>
      <c r="J11" s="178"/>
      <c r="O11" s="178"/>
    </row>
    <row r="12" spans="2:25" ht="15" customHeight="1" thickBot="1">
      <c r="C12" s="445" t="s">
        <v>254</v>
      </c>
      <c r="D12" s="446"/>
      <c r="E12" s="449">
        <f>P35</f>
        <v>16500000</v>
      </c>
      <c r="F12" s="450"/>
      <c r="G12" s="450"/>
      <c r="H12" s="450"/>
      <c r="I12" s="450"/>
      <c r="J12" s="451"/>
      <c r="N12" s="145"/>
      <c r="O12" s="178" t="s">
        <v>255</v>
      </c>
    </row>
    <row r="13" spans="2:25" ht="24" customHeight="1" thickBot="1">
      <c r="C13" s="447"/>
      <c r="D13" s="448"/>
      <c r="E13" s="452"/>
      <c r="F13" s="453"/>
      <c r="G13" s="453"/>
      <c r="H13" s="453"/>
      <c r="I13" s="453"/>
      <c r="J13" s="454"/>
      <c r="N13" s="145"/>
      <c r="O13" s="181" t="s">
        <v>256</v>
      </c>
      <c r="P13" s="455" t="s">
        <v>257</v>
      </c>
      <c r="Q13" s="455"/>
      <c r="R13" s="182" t="s">
        <v>258</v>
      </c>
      <c r="S13" s="456" t="s">
        <v>259</v>
      </c>
      <c r="T13" s="457"/>
      <c r="U13" s="457"/>
      <c r="V13" s="458"/>
    </row>
    <row r="14" spans="2:25" ht="24" customHeight="1">
      <c r="O14" s="183" t="s">
        <v>260</v>
      </c>
      <c r="P14" s="430" t="s">
        <v>261</v>
      </c>
      <c r="Q14" s="430"/>
      <c r="R14" s="184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34"/>
      <c r="E15" s="434"/>
      <c r="F15" s="151"/>
      <c r="O15" s="435" t="s">
        <v>263</v>
      </c>
      <c r="P15" s="185" t="s">
        <v>264</v>
      </c>
      <c r="Q15" s="437" t="s">
        <v>265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34"/>
      <c r="E16" s="434"/>
      <c r="F16" s="151"/>
      <c r="J16" s="440" t="s">
        <v>266</v>
      </c>
      <c r="K16" s="440"/>
      <c r="L16" s="441"/>
      <c r="M16" s="441"/>
      <c r="N16" s="441"/>
      <c r="O16" s="436"/>
      <c r="P16" s="186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414" t="s">
        <v>270</v>
      </c>
      <c r="B18" s="415"/>
      <c r="C18" s="415"/>
      <c r="D18" s="415"/>
      <c r="E18" s="415"/>
      <c r="F18" s="416"/>
      <c r="G18" s="187" t="s">
        <v>271</v>
      </c>
      <c r="H18" s="417" t="s">
        <v>272</v>
      </c>
      <c r="I18" s="418"/>
      <c r="J18" s="419"/>
      <c r="K18" s="188" t="s">
        <v>273</v>
      </c>
      <c r="L18" s="420" t="s">
        <v>294</v>
      </c>
      <c r="M18" s="421"/>
      <c r="N18" s="422"/>
      <c r="O18" s="423" t="s">
        <v>275</v>
      </c>
      <c r="P18" s="424"/>
      <c r="Q18" s="189" t="s">
        <v>295</v>
      </c>
      <c r="R18" s="425" t="s">
        <v>296</v>
      </c>
      <c r="S18" s="426"/>
      <c r="T18" s="427"/>
      <c r="U18" s="428" t="s">
        <v>278</v>
      </c>
      <c r="V18" s="429"/>
    </row>
    <row r="19" spans="1:22" ht="21.95" customHeight="1">
      <c r="A19" s="190">
        <v>1</v>
      </c>
      <c r="B19" s="400" t="s">
        <v>279</v>
      </c>
      <c r="C19" s="401"/>
      <c r="D19" s="401"/>
      <c r="E19" s="401"/>
      <c r="F19" s="402"/>
      <c r="G19" s="158" t="s">
        <v>297</v>
      </c>
      <c r="H19" s="403">
        <v>130730000</v>
      </c>
      <c r="I19" s="404"/>
      <c r="J19" s="405"/>
      <c r="K19" s="191">
        <f t="shared" ref="K19:K28" si="0">IFERROR(ROUND(L19/H19,3),"")</f>
        <v>0.115</v>
      </c>
      <c r="L19" s="406">
        <v>15000000</v>
      </c>
      <c r="M19" s="406"/>
      <c r="N19" s="407"/>
      <c r="O19" s="408"/>
      <c r="P19" s="409"/>
      <c r="Q19" s="192">
        <f t="shared" ref="Q19:Q28" si="1">IFERROR(ROUND(R19/H19,3),"")</f>
        <v>0.80500000000000005</v>
      </c>
      <c r="R19" s="410">
        <v>105200000</v>
      </c>
      <c r="S19" s="410"/>
      <c r="T19" s="411"/>
      <c r="U19" s="412"/>
      <c r="V19" s="413"/>
    </row>
    <row r="20" spans="1:22" ht="21.95" customHeight="1">
      <c r="A20" s="193">
        <v>2</v>
      </c>
      <c r="B20" s="399"/>
      <c r="C20" s="386"/>
      <c r="D20" s="386"/>
      <c r="E20" s="386"/>
      <c r="F20" s="387"/>
      <c r="G20" s="162"/>
      <c r="H20" s="388"/>
      <c r="I20" s="389"/>
      <c r="J20" s="390"/>
      <c r="K20" s="194" t="str">
        <f t="shared" si="0"/>
        <v/>
      </c>
      <c r="L20" s="391"/>
      <c r="M20" s="391"/>
      <c r="N20" s="392"/>
      <c r="O20" s="393"/>
      <c r="P20" s="394"/>
      <c r="Q20" s="195" t="str">
        <f t="shared" si="1"/>
        <v/>
      </c>
      <c r="R20" s="395"/>
      <c r="S20" s="395"/>
      <c r="T20" s="396"/>
      <c r="U20" s="397"/>
      <c r="V20" s="398"/>
    </row>
    <row r="21" spans="1:22" ht="21.95" customHeight="1">
      <c r="A21" s="193">
        <v>3</v>
      </c>
      <c r="B21" s="386"/>
      <c r="C21" s="386"/>
      <c r="D21" s="386"/>
      <c r="E21" s="386"/>
      <c r="F21" s="387"/>
      <c r="G21" s="162"/>
      <c r="H21" s="388"/>
      <c r="I21" s="389"/>
      <c r="J21" s="390"/>
      <c r="K21" s="194" t="str">
        <f t="shared" si="0"/>
        <v/>
      </c>
      <c r="L21" s="391"/>
      <c r="M21" s="391"/>
      <c r="N21" s="392"/>
      <c r="O21" s="393"/>
      <c r="P21" s="394"/>
      <c r="Q21" s="195" t="str">
        <f t="shared" si="1"/>
        <v/>
      </c>
      <c r="R21" s="395"/>
      <c r="S21" s="395"/>
      <c r="T21" s="396"/>
      <c r="U21" s="397"/>
      <c r="V21" s="398"/>
    </row>
    <row r="22" spans="1:22" ht="21.95" customHeight="1">
      <c r="A22" s="193">
        <v>4</v>
      </c>
      <c r="B22" s="386"/>
      <c r="C22" s="386"/>
      <c r="D22" s="386"/>
      <c r="E22" s="386"/>
      <c r="F22" s="387"/>
      <c r="G22" s="162"/>
      <c r="H22" s="388"/>
      <c r="I22" s="389"/>
      <c r="J22" s="390"/>
      <c r="K22" s="194" t="str">
        <f t="shared" si="0"/>
        <v/>
      </c>
      <c r="L22" s="391"/>
      <c r="M22" s="391"/>
      <c r="N22" s="392"/>
      <c r="O22" s="393"/>
      <c r="P22" s="394"/>
      <c r="Q22" s="195" t="str">
        <f t="shared" si="1"/>
        <v/>
      </c>
      <c r="R22" s="395"/>
      <c r="S22" s="395"/>
      <c r="T22" s="396"/>
      <c r="U22" s="397"/>
      <c r="V22" s="398"/>
    </row>
    <row r="23" spans="1:22" ht="21.95" customHeight="1">
      <c r="A23" s="193">
        <v>5</v>
      </c>
      <c r="B23" s="386"/>
      <c r="C23" s="386"/>
      <c r="D23" s="386"/>
      <c r="E23" s="386"/>
      <c r="F23" s="387"/>
      <c r="G23" s="162"/>
      <c r="H23" s="388"/>
      <c r="I23" s="389"/>
      <c r="J23" s="390"/>
      <c r="K23" s="194" t="str">
        <f t="shared" si="0"/>
        <v/>
      </c>
      <c r="L23" s="391"/>
      <c r="M23" s="391"/>
      <c r="N23" s="392"/>
      <c r="O23" s="393"/>
      <c r="P23" s="394"/>
      <c r="Q23" s="195" t="str">
        <f t="shared" si="1"/>
        <v/>
      </c>
      <c r="R23" s="395"/>
      <c r="S23" s="395"/>
      <c r="T23" s="396"/>
      <c r="U23" s="397"/>
      <c r="V23" s="398"/>
    </row>
    <row r="24" spans="1:22" ht="21.95" customHeight="1">
      <c r="A24" s="193">
        <v>6</v>
      </c>
      <c r="B24" s="386"/>
      <c r="C24" s="386"/>
      <c r="D24" s="386"/>
      <c r="E24" s="386"/>
      <c r="F24" s="387"/>
      <c r="G24" s="162"/>
      <c r="H24" s="388"/>
      <c r="I24" s="389"/>
      <c r="J24" s="390"/>
      <c r="K24" s="194" t="str">
        <f t="shared" si="0"/>
        <v/>
      </c>
      <c r="L24" s="391"/>
      <c r="M24" s="391"/>
      <c r="N24" s="392"/>
      <c r="O24" s="393"/>
      <c r="P24" s="394"/>
      <c r="Q24" s="195" t="str">
        <f t="shared" si="1"/>
        <v/>
      </c>
      <c r="R24" s="395"/>
      <c r="S24" s="395"/>
      <c r="T24" s="396"/>
      <c r="U24" s="397"/>
      <c r="V24" s="398"/>
    </row>
    <row r="25" spans="1:22" ht="21.95" customHeight="1">
      <c r="A25" s="193">
        <v>7</v>
      </c>
      <c r="B25" s="386"/>
      <c r="C25" s="386"/>
      <c r="D25" s="386"/>
      <c r="E25" s="386"/>
      <c r="F25" s="387"/>
      <c r="G25" s="162"/>
      <c r="H25" s="388"/>
      <c r="I25" s="389"/>
      <c r="J25" s="390"/>
      <c r="K25" s="194" t="str">
        <f t="shared" si="0"/>
        <v/>
      </c>
      <c r="L25" s="391"/>
      <c r="M25" s="391"/>
      <c r="N25" s="392"/>
      <c r="O25" s="393"/>
      <c r="P25" s="394"/>
      <c r="Q25" s="195" t="str">
        <f t="shared" si="1"/>
        <v/>
      </c>
      <c r="R25" s="395"/>
      <c r="S25" s="395"/>
      <c r="T25" s="396"/>
      <c r="U25" s="397"/>
      <c r="V25" s="398"/>
    </row>
    <row r="26" spans="1:22" ht="21.95" customHeight="1">
      <c r="A26" s="193">
        <v>8</v>
      </c>
      <c r="B26" s="386"/>
      <c r="C26" s="386"/>
      <c r="D26" s="386"/>
      <c r="E26" s="386"/>
      <c r="F26" s="387"/>
      <c r="G26" s="162"/>
      <c r="H26" s="388"/>
      <c r="I26" s="389"/>
      <c r="J26" s="390"/>
      <c r="K26" s="194" t="str">
        <f t="shared" si="0"/>
        <v/>
      </c>
      <c r="L26" s="391"/>
      <c r="M26" s="391"/>
      <c r="N26" s="392"/>
      <c r="O26" s="393"/>
      <c r="P26" s="394"/>
      <c r="Q26" s="195" t="str">
        <f t="shared" si="1"/>
        <v/>
      </c>
      <c r="R26" s="395"/>
      <c r="S26" s="395"/>
      <c r="T26" s="396"/>
      <c r="U26" s="397"/>
      <c r="V26" s="398"/>
    </row>
    <row r="27" spans="1:22" ht="21.95" customHeight="1">
      <c r="A27" s="193">
        <v>9</v>
      </c>
      <c r="B27" s="386"/>
      <c r="C27" s="386"/>
      <c r="D27" s="386"/>
      <c r="E27" s="386"/>
      <c r="F27" s="387"/>
      <c r="G27" s="162"/>
      <c r="H27" s="388"/>
      <c r="I27" s="389"/>
      <c r="J27" s="390"/>
      <c r="K27" s="194" t="str">
        <f t="shared" si="0"/>
        <v/>
      </c>
      <c r="L27" s="391"/>
      <c r="M27" s="391"/>
      <c r="N27" s="392"/>
      <c r="O27" s="393"/>
      <c r="P27" s="394"/>
      <c r="Q27" s="195" t="str">
        <f t="shared" si="1"/>
        <v/>
      </c>
      <c r="R27" s="395"/>
      <c r="S27" s="395"/>
      <c r="T27" s="396"/>
      <c r="U27" s="397"/>
      <c r="V27" s="398"/>
    </row>
    <row r="28" spans="1:22" ht="21.95" customHeight="1" thickBot="1">
      <c r="A28" s="196">
        <v>10</v>
      </c>
      <c r="B28" s="373"/>
      <c r="C28" s="373"/>
      <c r="D28" s="373"/>
      <c r="E28" s="373"/>
      <c r="F28" s="374"/>
      <c r="G28" s="166"/>
      <c r="H28" s="375"/>
      <c r="I28" s="376"/>
      <c r="J28" s="377"/>
      <c r="K28" s="197" t="str">
        <f t="shared" si="0"/>
        <v/>
      </c>
      <c r="L28" s="378"/>
      <c r="M28" s="378"/>
      <c r="N28" s="379"/>
      <c r="O28" s="380"/>
      <c r="P28" s="381"/>
      <c r="Q28" s="198" t="str">
        <f t="shared" si="1"/>
        <v/>
      </c>
      <c r="R28" s="382"/>
      <c r="S28" s="382"/>
      <c r="T28" s="383"/>
      <c r="U28" s="384"/>
      <c r="V28" s="385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357" t="s">
        <v>281</v>
      </c>
      <c r="L30" s="358"/>
      <c r="M30" s="358"/>
      <c r="N30" s="358"/>
      <c r="O30" s="359"/>
      <c r="P30" s="175" t="s">
        <v>282</v>
      </c>
      <c r="Q30" s="360">
        <f>SUM(L19:N28)</f>
        <v>15000000</v>
      </c>
      <c r="R30" s="361"/>
      <c r="S30" s="362" t="s">
        <v>283</v>
      </c>
      <c r="T30" s="363"/>
      <c r="U30" s="364">
        <f>SUM(U19:V28)</f>
        <v>0</v>
      </c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333" t="s">
        <v>284</v>
      </c>
      <c r="L31" s="334"/>
      <c r="M31" s="334"/>
      <c r="N31" s="334"/>
      <c r="O31" s="366"/>
      <c r="P31" s="176" t="s">
        <v>282</v>
      </c>
      <c r="Q31" s="367">
        <f>Q30*0.1</f>
        <v>1500000</v>
      </c>
      <c r="R31" s="368"/>
      <c r="S31" s="369" t="s">
        <v>283</v>
      </c>
      <c r="T31" s="370"/>
      <c r="U31" s="371">
        <f>U30*1.08-U30</f>
        <v>0</v>
      </c>
      <c r="V31" s="372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343" t="s">
        <v>285</v>
      </c>
      <c r="L32" s="344"/>
      <c r="M32" s="344"/>
      <c r="N32" s="344"/>
      <c r="O32" s="345"/>
      <c r="P32" s="177" t="s">
        <v>282</v>
      </c>
      <c r="Q32" s="346">
        <f>Q30+Q31</f>
        <v>16500000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352" t="s">
        <v>286</v>
      </c>
      <c r="L33" s="353"/>
      <c r="M33" s="353"/>
      <c r="N33" s="353"/>
      <c r="O33" s="353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333" t="s">
        <v>287</v>
      </c>
      <c r="L34" s="334"/>
      <c r="M34" s="334"/>
      <c r="N34" s="334"/>
      <c r="O34" s="334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338" t="s">
        <v>288</v>
      </c>
      <c r="L35" s="339"/>
      <c r="M35" s="339"/>
      <c r="N35" s="339"/>
      <c r="O35" s="339"/>
      <c r="P35" s="340">
        <f>Q32+U32+P33</f>
        <v>16500000</v>
      </c>
      <c r="Q35" s="341"/>
      <c r="R35" s="341"/>
      <c r="S35" s="341"/>
      <c r="T35" s="341"/>
      <c r="U35" s="341"/>
      <c r="V35" s="342"/>
    </row>
    <row r="36" spans="2:22" ht="13.5" customHeight="1"/>
  </sheetData>
  <sheetProtection algorithmName="SHA-512" hashValue="oFWKqJpz91Pe2ryeiBPuj54bHKVgo+c4qpU7Nyfk0z03d+D/wYVSte0ovfaIkq1uD/piuUEH2LSrAZK6tn4Dbg==" saltValue="ooGqYITCURsFQl+GJw4mwA==" spinCount="100000" sheet="1" formatCells="0" formatColumns="0" formatRows="0" insertColumns="0" selectLockedCells="1"/>
  <mergeCells count="113"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P14:Q14"/>
    <mergeCell ref="S14:V14"/>
    <mergeCell ref="D15:E15"/>
    <mergeCell ref="O15:O16"/>
    <mergeCell ref="Q15:V15"/>
    <mergeCell ref="D16:E16"/>
    <mergeCell ref="J16:K16"/>
    <mergeCell ref="L16:N16"/>
    <mergeCell ref="Q16:V16"/>
    <mergeCell ref="C12:D13"/>
    <mergeCell ref="E12:J13"/>
    <mergeCell ref="P13:Q13"/>
    <mergeCell ref="S13:V13"/>
    <mergeCell ref="C5:G5"/>
    <mergeCell ref="O5:O6"/>
    <mergeCell ref="P5:V6"/>
    <mergeCell ref="C6:H6"/>
    <mergeCell ref="O7:O8"/>
    <mergeCell ref="P7:V8"/>
    <mergeCell ref="C8:H8"/>
    <mergeCell ref="B1:V1"/>
    <mergeCell ref="P2:Q2"/>
    <mergeCell ref="R2:V2"/>
    <mergeCell ref="P3:Q3"/>
    <mergeCell ref="R3:S3"/>
    <mergeCell ref="T3:V3"/>
    <mergeCell ref="P9:V9"/>
    <mergeCell ref="C10:H10"/>
    <mergeCell ref="P10:V10"/>
  </mergeCells>
  <phoneticPr fontId="2"/>
  <dataValidations count="1">
    <dataValidation type="list" allowBlank="1" showInputMessage="1" showErrorMessage="1" sqref="G19:G28" xr:uid="{8A9C7F21-E19F-41CC-8804-7ECED8EA559C}">
      <formula1>"請負,常用"</formula1>
    </dataValidation>
  </dataValidations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52A0-F060-4549-8127-1C4EB91ACC62}">
  <sheetPr codeName="Sheet1">
    <tabColor rgb="FF92D050"/>
  </sheetPr>
  <dimension ref="A1:Y36"/>
  <sheetViews>
    <sheetView showGridLines="0" showZeros="0" zoomScale="85" zoomScaleNormal="85" zoomScaleSheetLayoutView="85" workbookViewId="0">
      <selection activeCell="R20" sqref="R20:T20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65" t="s">
        <v>238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66" t="s">
        <v>239</v>
      </c>
      <c r="Q2" s="467"/>
      <c r="R2" s="468">
        <v>45991</v>
      </c>
      <c r="S2" s="469"/>
      <c r="T2" s="469"/>
      <c r="U2" s="469"/>
      <c r="V2" s="470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71" t="s">
        <v>240</v>
      </c>
      <c r="Q3" s="472"/>
      <c r="R3" s="473" t="s">
        <v>290</v>
      </c>
      <c r="S3" s="474"/>
      <c r="T3" s="475" t="s">
        <v>291</v>
      </c>
      <c r="U3" s="475"/>
      <c r="V3" s="476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59" t="s">
        <v>242</v>
      </c>
      <c r="D5" s="459"/>
      <c r="E5" s="459"/>
      <c r="F5" s="459"/>
      <c r="G5" s="459"/>
      <c r="H5" s="178"/>
      <c r="I5" s="178"/>
      <c r="J5" s="178"/>
      <c r="O5" s="460" t="s">
        <v>243</v>
      </c>
      <c r="P5" s="461" t="s">
        <v>292</v>
      </c>
      <c r="Q5" s="461"/>
      <c r="R5" s="461"/>
      <c r="S5" s="461"/>
      <c r="T5" s="461"/>
      <c r="U5" s="461"/>
      <c r="V5" s="461"/>
    </row>
    <row r="6" spans="2:25" ht="18" customHeight="1">
      <c r="C6" s="462" t="s">
        <v>245</v>
      </c>
      <c r="D6" s="462"/>
      <c r="E6" s="462"/>
      <c r="F6" s="462"/>
      <c r="G6" s="462"/>
      <c r="H6" s="462"/>
      <c r="I6" s="180"/>
      <c r="J6" s="180"/>
      <c r="O6" s="460"/>
      <c r="P6" s="461"/>
      <c r="Q6" s="461"/>
      <c r="R6" s="461"/>
      <c r="S6" s="461"/>
      <c r="T6" s="461"/>
      <c r="U6" s="461"/>
      <c r="V6" s="461"/>
    </row>
    <row r="7" spans="2:25" ht="16.5" customHeight="1">
      <c r="C7" s="178"/>
      <c r="D7" s="178"/>
      <c r="E7" s="178"/>
      <c r="F7" s="180"/>
      <c r="G7" s="180"/>
      <c r="H7" s="180"/>
      <c r="I7" s="180"/>
      <c r="J7" s="180"/>
      <c r="K7" s="143"/>
      <c r="L7" s="143"/>
      <c r="M7" s="144"/>
      <c r="N7" s="144"/>
      <c r="O7" s="460" t="s">
        <v>246</v>
      </c>
      <c r="P7" s="463" t="s">
        <v>293</v>
      </c>
      <c r="Q7" s="463"/>
      <c r="R7" s="463"/>
      <c r="S7" s="463"/>
      <c r="T7" s="463"/>
      <c r="U7" s="463"/>
      <c r="V7" s="463"/>
    </row>
    <row r="8" spans="2:25" ht="18" customHeight="1">
      <c r="C8" s="464" t="s">
        <v>248</v>
      </c>
      <c r="D8" s="464"/>
      <c r="E8" s="464"/>
      <c r="F8" s="464"/>
      <c r="G8" s="464"/>
      <c r="H8" s="464"/>
      <c r="I8" s="178"/>
      <c r="J8" s="178"/>
      <c r="L8" s="145"/>
      <c r="M8" s="145"/>
      <c r="N8" s="145"/>
      <c r="O8" s="460"/>
      <c r="P8" s="463"/>
      <c r="Q8" s="463"/>
      <c r="R8" s="463"/>
      <c r="S8" s="463"/>
      <c r="T8" s="463"/>
      <c r="U8" s="463"/>
      <c r="V8" s="463"/>
    </row>
    <row r="9" spans="2:25" ht="18" customHeight="1">
      <c r="C9" s="178"/>
      <c r="D9" s="178"/>
      <c r="E9" s="178"/>
      <c r="F9" s="178"/>
      <c r="G9" s="178"/>
      <c r="H9" s="178"/>
      <c r="I9" s="178"/>
      <c r="J9" s="178"/>
      <c r="O9" s="179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60" t="s">
        <v>251</v>
      </c>
      <c r="D10" s="460"/>
      <c r="E10" s="460"/>
      <c r="F10" s="460"/>
      <c r="G10" s="460"/>
      <c r="H10" s="460"/>
      <c r="I10" s="178"/>
      <c r="J10" s="178"/>
      <c r="L10" s="145"/>
      <c r="M10" s="145"/>
      <c r="N10" s="145"/>
      <c r="O10" s="179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>
      <c r="C11" s="178"/>
      <c r="D11" s="178"/>
      <c r="E11" s="178"/>
      <c r="F11" s="178"/>
      <c r="G11" s="178"/>
      <c r="H11" s="178"/>
      <c r="I11" s="178"/>
      <c r="J11" s="178"/>
      <c r="O11" s="178"/>
    </row>
    <row r="12" spans="2:25" ht="15" customHeight="1" thickBot="1">
      <c r="C12" s="445" t="s">
        <v>254</v>
      </c>
      <c r="D12" s="446"/>
      <c r="E12" s="449">
        <f>P35</f>
        <v>27500000</v>
      </c>
      <c r="F12" s="450"/>
      <c r="G12" s="450"/>
      <c r="H12" s="450"/>
      <c r="I12" s="450"/>
      <c r="J12" s="451"/>
      <c r="N12" s="145"/>
      <c r="O12" s="178" t="s">
        <v>255</v>
      </c>
    </row>
    <row r="13" spans="2:25" ht="24" customHeight="1" thickBot="1">
      <c r="C13" s="447"/>
      <c r="D13" s="448"/>
      <c r="E13" s="452"/>
      <c r="F13" s="453"/>
      <c r="G13" s="453"/>
      <c r="H13" s="453"/>
      <c r="I13" s="453"/>
      <c r="J13" s="454"/>
      <c r="N13" s="145"/>
      <c r="O13" s="181" t="s">
        <v>256</v>
      </c>
      <c r="P13" s="455" t="s">
        <v>257</v>
      </c>
      <c r="Q13" s="455"/>
      <c r="R13" s="182" t="s">
        <v>258</v>
      </c>
      <c r="S13" s="456" t="s">
        <v>259</v>
      </c>
      <c r="T13" s="457"/>
      <c r="U13" s="457"/>
      <c r="V13" s="458"/>
    </row>
    <row r="14" spans="2:25" ht="24" customHeight="1">
      <c r="O14" s="183" t="s">
        <v>260</v>
      </c>
      <c r="P14" s="430" t="s">
        <v>261</v>
      </c>
      <c r="Q14" s="430"/>
      <c r="R14" s="184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34"/>
      <c r="E15" s="434"/>
      <c r="F15" s="151"/>
      <c r="O15" s="435" t="s">
        <v>263</v>
      </c>
      <c r="P15" s="185" t="s">
        <v>264</v>
      </c>
      <c r="Q15" s="437" t="s">
        <v>265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34"/>
      <c r="E16" s="434"/>
      <c r="F16" s="151"/>
      <c r="J16" s="440" t="s">
        <v>266</v>
      </c>
      <c r="K16" s="440"/>
      <c r="L16" s="441"/>
      <c r="M16" s="441"/>
      <c r="N16" s="441"/>
      <c r="O16" s="436"/>
      <c r="P16" s="186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414" t="s">
        <v>270</v>
      </c>
      <c r="B18" s="415"/>
      <c r="C18" s="415"/>
      <c r="D18" s="415"/>
      <c r="E18" s="415"/>
      <c r="F18" s="416"/>
      <c r="G18" s="187" t="s">
        <v>271</v>
      </c>
      <c r="H18" s="417" t="s">
        <v>272</v>
      </c>
      <c r="I18" s="418"/>
      <c r="J18" s="419"/>
      <c r="K18" s="188" t="s">
        <v>273</v>
      </c>
      <c r="L18" s="420" t="s">
        <v>294</v>
      </c>
      <c r="M18" s="421"/>
      <c r="N18" s="422"/>
      <c r="O18" s="423" t="s">
        <v>275</v>
      </c>
      <c r="P18" s="424"/>
      <c r="Q18" s="189" t="s">
        <v>295</v>
      </c>
      <c r="R18" s="425" t="s">
        <v>296</v>
      </c>
      <c r="S18" s="426"/>
      <c r="T18" s="427"/>
      <c r="U18" s="428" t="s">
        <v>278</v>
      </c>
      <c r="V18" s="429"/>
    </row>
    <row r="19" spans="1:22" ht="21.95" customHeight="1">
      <c r="A19" s="190">
        <v>1</v>
      </c>
      <c r="B19" s="400" t="s">
        <v>279</v>
      </c>
      <c r="C19" s="401"/>
      <c r="D19" s="401"/>
      <c r="E19" s="401"/>
      <c r="F19" s="402"/>
      <c r="G19" s="158" t="s">
        <v>297</v>
      </c>
      <c r="H19" s="403">
        <v>130730000</v>
      </c>
      <c r="I19" s="404"/>
      <c r="J19" s="405"/>
      <c r="K19" s="191">
        <f t="shared" ref="K19:K28" si="0">IFERROR(ROUND(L19/H19,3),"")</f>
        <v>0.191</v>
      </c>
      <c r="L19" s="406">
        <v>25000000</v>
      </c>
      <c r="M19" s="406"/>
      <c r="N19" s="407"/>
      <c r="O19" s="408"/>
      <c r="P19" s="409"/>
      <c r="Q19" s="192">
        <f t="shared" ref="Q19:Q28" si="1">IFERROR(ROUND(R19/H19,3),"")</f>
        <v>0.69</v>
      </c>
      <c r="R19" s="410">
        <v>90200000</v>
      </c>
      <c r="S19" s="410"/>
      <c r="T19" s="411"/>
      <c r="U19" s="412"/>
      <c r="V19" s="413"/>
    </row>
    <row r="20" spans="1:22" ht="21.95" customHeight="1">
      <c r="A20" s="193">
        <v>2</v>
      </c>
      <c r="B20" s="399"/>
      <c r="C20" s="386"/>
      <c r="D20" s="386"/>
      <c r="E20" s="386"/>
      <c r="F20" s="387"/>
      <c r="G20" s="162"/>
      <c r="H20" s="388"/>
      <c r="I20" s="389"/>
      <c r="J20" s="390"/>
      <c r="K20" s="194" t="str">
        <f t="shared" si="0"/>
        <v/>
      </c>
      <c r="L20" s="391"/>
      <c r="M20" s="391"/>
      <c r="N20" s="392"/>
      <c r="O20" s="393"/>
      <c r="P20" s="394"/>
      <c r="Q20" s="195" t="str">
        <f t="shared" si="1"/>
        <v/>
      </c>
      <c r="R20" s="395"/>
      <c r="S20" s="395"/>
      <c r="T20" s="396"/>
      <c r="U20" s="397"/>
      <c r="V20" s="398"/>
    </row>
    <row r="21" spans="1:22" ht="21.95" customHeight="1">
      <c r="A21" s="193">
        <v>3</v>
      </c>
      <c r="B21" s="386"/>
      <c r="C21" s="386"/>
      <c r="D21" s="386"/>
      <c r="E21" s="386"/>
      <c r="F21" s="387"/>
      <c r="G21" s="162"/>
      <c r="H21" s="388"/>
      <c r="I21" s="389"/>
      <c r="J21" s="390"/>
      <c r="K21" s="194" t="str">
        <f t="shared" si="0"/>
        <v/>
      </c>
      <c r="L21" s="391"/>
      <c r="M21" s="391"/>
      <c r="N21" s="392"/>
      <c r="O21" s="393"/>
      <c r="P21" s="394"/>
      <c r="Q21" s="195" t="str">
        <f t="shared" si="1"/>
        <v/>
      </c>
      <c r="R21" s="395"/>
      <c r="S21" s="395"/>
      <c r="T21" s="396"/>
      <c r="U21" s="397"/>
      <c r="V21" s="398"/>
    </row>
    <row r="22" spans="1:22" ht="21.95" customHeight="1">
      <c r="A22" s="193">
        <v>4</v>
      </c>
      <c r="B22" s="386"/>
      <c r="C22" s="386"/>
      <c r="D22" s="386"/>
      <c r="E22" s="386"/>
      <c r="F22" s="387"/>
      <c r="G22" s="162"/>
      <c r="H22" s="388"/>
      <c r="I22" s="389"/>
      <c r="J22" s="390"/>
      <c r="K22" s="194" t="str">
        <f t="shared" si="0"/>
        <v/>
      </c>
      <c r="L22" s="391"/>
      <c r="M22" s="391"/>
      <c r="N22" s="392"/>
      <c r="O22" s="393"/>
      <c r="P22" s="394"/>
      <c r="Q22" s="195" t="str">
        <f t="shared" si="1"/>
        <v/>
      </c>
      <c r="R22" s="395"/>
      <c r="S22" s="395"/>
      <c r="T22" s="396"/>
      <c r="U22" s="397"/>
      <c r="V22" s="398"/>
    </row>
    <row r="23" spans="1:22" ht="21.95" customHeight="1">
      <c r="A23" s="193">
        <v>5</v>
      </c>
      <c r="B23" s="386"/>
      <c r="C23" s="386"/>
      <c r="D23" s="386"/>
      <c r="E23" s="386"/>
      <c r="F23" s="387"/>
      <c r="G23" s="162"/>
      <c r="H23" s="388"/>
      <c r="I23" s="389"/>
      <c r="J23" s="390"/>
      <c r="K23" s="194" t="str">
        <f t="shared" si="0"/>
        <v/>
      </c>
      <c r="L23" s="391"/>
      <c r="M23" s="391"/>
      <c r="N23" s="392"/>
      <c r="O23" s="393"/>
      <c r="P23" s="394"/>
      <c r="Q23" s="195" t="str">
        <f t="shared" si="1"/>
        <v/>
      </c>
      <c r="R23" s="395"/>
      <c r="S23" s="395"/>
      <c r="T23" s="396"/>
      <c r="U23" s="397"/>
      <c r="V23" s="398"/>
    </row>
    <row r="24" spans="1:22" ht="21.95" customHeight="1">
      <c r="A24" s="193">
        <v>6</v>
      </c>
      <c r="B24" s="386"/>
      <c r="C24" s="386"/>
      <c r="D24" s="386"/>
      <c r="E24" s="386"/>
      <c r="F24" s="387"/>
      <c r="G24" s="162"/>
      <c r="H24" s="388"/>
      <c r="I24" s="389"/>
      <c r="J24" s="390"/>
      <c r="K24" s="194" t="str">
        <f t="shared" si="0"/>
        <v/>
      </c>
      <c r="L24" s="391"/>
      <c r="M24" s="391"/>
      <c r="N24" s="392"/>
      <c r="O24" s="393"/>
      <c r="P24" s="394"/>
      <c r="Q24" s="195" t="str">
        <f t="shared" si="1"/>
        <v/>
      </c>
      <c r="R24" s="395"/>
      <c r="S24" s="395"/>
      <c r="T24" s="396"/>
      <c r="U24" s="397"/>
      <c r="V24" s="398"/>
    </row>
    <row r="25" spans="1:22" ht="21.95" customHeight="1">
      <c r="A25" s="193">
        <v>7</v>
      </c>
      <c r="B25" s="386"/>
      <c r="C25" s="386"/>
      <c r="D25" s="386"/>
      <c r="E25" s="386"/>
      <c r="F25" s="387"/>
      <c r="G25" s="162"/>
      <c r="H25" s="388"/>
      <c r="I25" s="389"/>
      <c r="J25" s="390"/>
      <c r="K25" s="194" t="str">
        <f t="shared" si="0"/>
        <v/>
      </c>
      <c r="L25" s="391"/>
      <c r="M25" s="391"/>
      <c r="N25" s="392"/>
      <c r="O25" s="393"/>
      <c r="P25" s="394"/>
      <c r="Q25" s="195" t="str">
        <f t="shared" si="1"/>
        <v/>
      </c>
      <c r="R25" s="395"/>
      <c r="S25" s="395"/>
      <c r="T25" s="396"/>
      <c r="U25" s="397"/>
      <c r="V25" s="398"/>
    </row>
    <row r="26" spans="1:22" ht="21.95" customHeight="1">
      <c r="A26" s="193">
        <v>8</v>
      </c>
      <c r="B26" s="386"/>
      <c r="C26" s="386"/>
      <c r="D26" s="386"/>
      <c r="E26" s="386"/>
      <c r="F26" s="387"/>
      <c r="G26" s="162"/>
      <c r="H26" s="388"/>
      <c r="I26" s="389"/>
      <c r="J26" s="390"/>
      <c r="K26" s="194" t="str">
        <f t="shared" si="0"/>
        <v/>
      </c>
      <c r="L26" s="391"/>
      <c r="M26" s="391"/>
      <c r="N26" s="392"/>
      <c r="O26" s="393"/>
      <c r="P26" s="394"/>
      <c r="Q26" s="195" t="str">
        <f t="shared" si="1"/>
        <v/>
      </c>
      <c r="R26" s="395"/>
      <c r="S26" s="395"/>
      <c r="T26" s="396"/>
      <c r="U26" s="397"/>
      <c r="V26" s="398"/>
    </row>
    <row r="27" spans="1:22" ht="21.95" customHeight="1">
      <c r="A27" s="193">
        <v>9</v>
      </c>
      <c r="B27" s="386"/>
      <c r="C27" s="386"/>
      <c r="D27" s="386"/>
      <c r="E27" s="386"/>
      <c r="F27" s="387"/>
      <c r="G27" s="162"/>
      <c r="H27" s="388"/>
      <c r="I27" s="389"/>
      <c r="J27" s="390"/>
      <c r="K27" s="194" t="str">
        <f t="shared" si="0"/>
        <v/>
      </c>
      <c r="L27" s="391"/>
      <c r="M27" s="391"/>
      <c r="N27" s="392"/>
      <c r="O27" s="393"/>
      <c r="P27" s="394"/>
      <c r="Q27" s="195" t="str">
        <f t="shared" si="1"/>
        <v/>
      </c>
      <c r="R27" s="395"/>
      <c r="S27" s="395"/>
      <c r="T27" s="396"/>
      <c r="U27" s="397"/>
      <c r="V27" s="398"/>
    </row>
    <row r="28" spans="1:22" ht="21.95" customHeight="1" thickBot="1">
      <c r="A28" s="196">
        <v>10</v>
      </c>
      <c r="B28" s="373"/>
      <c r="C28" s="373"/>
      <c r="D28" s="373"/>
      <c r="E28" s="373"/>
      <c r="F28" s="374"/>
      <c r="G28" s="166"/>
      <c r="H28" s="375"/>
      <c r="I28" s="376"/>
      <c r="J28" s="377"/>
      <c r="K28" s="197" t="str">
        <f t="shared" si="0"/>
        <v/>
      </c>
      <c r="L28" s="378"/>
      <c r="M28" s="378"/>
      <c r="N28" s="379"/>
      <c r="O28" s="380"/>
      <c r="P28" s="381"/>
      <c r="Q28" s="198" t="str">
        <f t="shared" si="1"/>
        <v/>
      </c>
      <c r="R28" s="382"/>
      <c r="S28" s="382"/>
      <c r="T28" s="383"/>
      <c r="U28" s="384"/>
      <c r="V28" s="385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357" t="s">
        <v>281</v>
      </c>
      <c r="L30" s="358"/>
      <c r="M30" s="358"/>
      <c r="N30" s="358"/>
      <c r="O30" s="359"/>
      <c r="P30" s="175" t="s">
        <v>282</v>
      </c>
      <c r="Q30" s="360">
        <f>SUM(L19:N28)</f>
        <v>25000000</v>
      </c>
      <c r="R30" s="361"/>
      <c r="S30" s="362" t="s">
        <v>283</v>
      </c>
      <c r="T30" s="363"/>
      <c r="U30" s="364">
        <f>SUM(U19:V28)</f>
        <v>0</v>
      </c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333" t="s">
        <v>284</v>
      </c>
      <c r="L31" s="334"/>
      <c r="M31" s="334"/>
      <c r="N31" s="334"/>
      <c r="O31" s="366"/>
      <c r="P31" s="176" t="s">
        <v>282</v>
      </c>
      <c r="Q31" s="367">
        <f>Q30*0.1</f>
        <v>2500000</v>
      </c>
      <c r="R31" s="368"/>
      <c r="S31" s="369" t="s">
        <v>283</v>
      </c>
      <c r="T31" s="370"/>
      <c r="U31" s="371">
        <f>U30*1.08-U30</f>
        <v>0</v>
      </c>
      <c r="V31" s="372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343" t="s">
        <v>285</v>
      </c>
      <c r="L32" s="344"/>
      <c r="M32" s="344"/>
      <c r="N32" s="344"/>
      <c r="O32" s="345"/>
      <c r="P32" s="177" t="s">
        <v>282</v>
      </c>
      <c r="Q32" s="346">
        <f>Q30+Q31</f>
        <v>27500000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352" t="s">
        <v>286</v>
      </c>
      <c r="L33" s="353"/>
      <c r="M33" s="353"/>
      <c r="N33" s="353"/>
      <c r="O33" s="353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333" t="s">
        <v>287</v>
      </c>
      <c r="L34" s="334"/>
      <c r="M34" s="334"/>
      <c r="N34" s="334"/>
      <c r="O34" s="334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338" t="s">
        <v>288</v>
      </c>
      <c r="L35" s="339"/>
      <c r="M35" s="339"/>
      <c r="N35" s="339"/>
      <c r="O35" s="339"/>
      <c r="P35" s="340">
        <f>Q32+U32+P33</f>
        <v>27500000</v>
      </c>
      <c r="Q35" s="341"/>
      <c r="R35" s="341"/>
      <c r="S35" s="341"/>
      <c r="T35" s="341"/>
      <c r="U35" s="341"/>
      <c r="V35" s="342"/>
    </row>
    <row r="36" spans="2:22" ht="13.5" customHeight="1"/>
  </sheetData>
  <sheetProtection algorithmName="SHA-512" hashValue="oFWKqJpz91Pe2ryeiBPuj54bHKVgo+c4qpU7Nyfk0z03d+D/wYVSte0ovfaIkq1uD/piuUEH2LSrAZK6tn4Dbg==" saltValue="ooGqYITCURsFQl+GJw4mwA==" spinCount="100000" sheet="1" formatCells="0" formatColumns="0" formatRows="0" insertColumns="0" selectLockedCells="1"/>
  <mergeCells count="113"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P14:Q14"/>
    <mergeCell ref="S14:V14"/>
    <mergeCell ref="D15:E15"/>
    <mergeCell ref="O15:O16"/>
    <mergeCell ref="Q15:V15"/>
    <mergeCell ref="D16:E16"/>
    <mergeCell ref="J16:K16"/>
    <mergeCell ref="L16:N16"/>
    <mergeCell ref="Q16:V16"/>
    <mergeCell ref="C12:D13"/>
    <mergeCell ref="E12:J13"/>
    <mergeCell ref="P13:Q13"/>
    <mergeCell ref="S13:V13"/>
    <mergeCell ref="C5:G5"/>
    <mergeCell ref="O5:O6"/>
    <mergeCell ref="P5:V6"/>
    <mergeCell ref="C6:H6"/>
    <mergeCell ref="O7:O8"/>
    <mergeCell ref="P7:V8"/>
    <mergeCell ref="C8:H8"/>
    <mergeCell ref="B1:V1"/>
    <mergeCell ref="P2:Q2"/>
    <mergeCell ref="R2:V2"/>
    <mergeCell ref="P3:Q3"/>
    <mergeCell ref="R3:S3"/>
    <mergeCell ref="T3:V3"/>
    <mergeCell ref="P9:V9"/>
    <mergeCell ref="C10:H10"/>
    <mergeCell ref="P10:V10"/>
  </mergeCells>
  <phoneticPr fontId="2"/>
  <dataValidations count="1">
    <dataValidation type="list" allowBlank="1" showInputMessage="1" showErrorMessage="1" sqref="G19:G28" xr:uid="{8C1DD7F8-E58E-49FB-AFB8-AD0EC6CD5CFE}">
      <formula1>"請負,常用"</formula1>
    </dataValidation>
  </dataValidations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0500-58E3-4B11-89F6-3B5229F9F6DF}">
  <sheetPr codeName="Sheet3">
    <tabColor rgb="FF92D050"/>
  </sheetPr>
  <dimension ref="A1:Y36"/>
  <sheetViews>
    <sheetView showGridLines="0" showZeros="0" topLeftCell="A4" zoomScale="85" zoomScaleNormal="85" zoomScaleSheetLayoutView="85" workbookViewId="0">
      <selection activeCell="P9" sqref="P9:V9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65" t="s">
        <v>238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66" t="s">
        <v>239</v>
      </c>
      <c r="Q2" s="467"/>
      <c r="R2" s="468">
        <v>45930</v>
      </c>
      <c r="S2" s="469"/>
      <c r="T2" s="469"/>
      <c r="U2" s="469"/>
      <c r="V2" s="470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71" t="s">
        <v>240</v>
      </c>
      <c r="Q3" s="472"/>
      <c r="R3" s="473" t="s">
        <v>290</v>
      </c>
      <c r="S3" s="474"/>
      <c r="T3" s="475" t="s">
        <v>291</v>
      </c>
      <c r="U3" s="475"/>
      <c r="V3" s="476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59" t="s">
        <v>242</v>
      </c>
      <c r="D5" s="459"/>
      <c r="E5" s="459"/>
      <c r="F5" s="459"/>
      <c r="G5" s="459"/>
      <c r="H5" s="178"/>
      <c r="I5" s="178"/>
      <c r="J5" s="178"/>
      <c r="O5" s="460" t="s">
        <v>243</v>
      </c>
      <c r="P5" s="461" t="s">
        <v>292</v>
      </c>
      <c r="Q5" s="461"/>
      <c r="R5" s="461"/>
      <c r="S5" s="461"/>
      <c r="T5" s="461"/>
      <c r="U5" s="461"/>
      <c r="V5" s="461"/>
    </row>
    <row r="6" spans="2:25" ht="18" customHeight="1">
      <c r="C6" s="462" t="s">
        <v>245</v>
      </c>
      <c r="D6" s="462"/>
      <c r="E6" s="462"/>
      <c r="F6" s="462"/>
      <c r="G6" s="462"/>
      <c r="H6" s="462"/>
      <c r="I6" s="180"/>
      <c r="J6" s="180"/>
      <c r="O6" s="460"/>
      <c r="P6" s="461"/>
      <c r="Q6" s="461"/>
      <c r="R6" s="461"/>
      <c r="S6" s="461"/>
      <c r="T6" s="461"/>
      <c r="U6" s="461"/>
      <c r="V6" s="461"/>
    </row>
    <row r="7" spans="2:25" ht="16.5" customHeight="1">
      <c r="C7" s="178"/>
      <c r="D7" s="178"/>
      <c r="E7" s="178"/>
      <c r="F7" s="180"/>
      <c r="G7" s="180"/>
      <c r="H7" s="180"/>
      <c r="I7" s="180"/>
      <c r="J7" s="180"/>
      <c r="K7" s="143"/>
      <c r="L7" s="143"/>
      <c r="M7" s="144"/>
      <c r="N7" s="144"/>
      <c r="O7" s="460" t="s">
        <v>246</v>
      </c>
      <c r="P7" s="463" t="s">
        <v>293</v>
      </c>
      <c r="Q7" s="463"/>
      <c r="R7" s="463"/>
      <c r="S7" s="463"/>
      <c r="T7" s="463"/>
      <c r="U7" s="463"/>
      <c r="V7" s="463"/>
    </row>
    <row r="8" spans="2:25" ht="18" customHeight="1">
      <c r="C8" s="464" t="s">
        <v>248</v>
      </c>
      <c r="D8" s="464"/>
      <c r="E8" s="464"/>
      <c r="F8" s="464"/>
      <c r="G8" s="464"/>
      <c r="H8" s="464"/>
      <c r="I8" s="178"/>
      <c r="J8" s="178"/>
      <c r="L8" s="145"/>
      <c r="M8" s="145"/>
      <c r="N8" s="145"/>
      <c r="O8" s="460"/>
      <c r="P8" s="463"/>
      <c r="Q8" s="463"/>
      <c r="R8" s="463"/>
      <c r="S8" s="463"/>
      <c r="T8" s="463"/>
      <c r="U8" s="463"/>
      <c r="V8" s="463"/>
    </row>
    <row r="9" spans="2:25" ht="18" customHeight="1">
      <c r="C9" s="178"/>
      <c r="D9" s="178"/>
      <c r="E9" s="178"/>
      <c r="F9" s="178"/>
      <c r="G9" s="178"/>
      <c r="H9" s="178"/>
      <c r="I9" s="178"/>
      <c r="J9" s="178"/>
      <c r="O9" s="179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60" t="s">
        <v>251</v>
      </c>
      <c r="D10" s="460"/>
      <c r="E10" s="460"/>
      <c r="F10" s="460"/>
      <c r="G10" s="460"/>
      <c r="H10" s="460"/>
      <c r="I10" s="178"/>
      <c r="J10" s="178"/>
      <c r="L10" s="145"/>
      <c r="M10" s="145"/>
      <c r="N10" s="145"/>
      <c r="O10" s="179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>
      <c r="C11" s="178"/>
      <c r="D11" s="178"/>
      <c r="E11" s="178"/>
      <c r="F11" s="178"/>
      <c r="G11" s="178"/>
      <c r="H11" s="178"/>
      <c r="I11" s="178"/>
      <c r="J11" s="178"/>
      <c r="O11" s="178"/>
    </row>
    <row r="12" spans="2:25" ht="15" customHeight="1" thickBot="1">
      <c r="C12" s="445" t="s">
        <v>254</v>
      </c>
      <c r="D12" s="446"/>
      <c r="E12" s="449">
        <f>P35</f>
        <v>5720000</v>
      </c>
      <c r="F12" s="450"/>
      <c r="G12" s="450"/>
      <c r="H12" s="450"/>
      <c r="I12" s="450"/>
      <c r="J12" s="451"/>
      <c r="N12" s="145"/>
      <c r="O12" s="178" t="s">
        <v>255</v>
      </c>
    </row>
    <row r="13" spans="2:25" ht="24" customHeight="1" thickBot="1">
      <c r="C13" s="447"/>
      <c r="D13" s="448"/>
      <c r="E13" s="452"/>
      <c r="F13" s="453"/>
      <c r="G13" s="453"/>
      <c r="H13" s="453"/>
      <c r="I13" s="453"/>
      <c r="J13" s="454"/>
      <c r="N13" s="145"/>
      <c r="O13" s="181" t="s">
        <v>256</v>
      </c>
      <c r="P13" s="455" t="s">
        <v>257</v>
      </c>
      <c r="Q13" s="455"/>
      <c r="R13" s="182" t="s">
        <v>258</v>
      </c>
      <c r="S13" s="456" t="s">
        <v>259</v>
      </c>
      <c r="T13" s="457"/>
      <c r="U13" s="457"/>
      <c r="V13" s="458"/>
    </row>
    <row r="14" spans="2:25" ht="24" customHeight="1">
      <c r="O14" s="183" t="s">
        <v>260</v>
      </c>
      <c r="P14" s="430" t="s">
        <v>261</v>
      </c>
      <c r="Q14" s="430"/>
      <c r="R14" s="184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34"/>
      <c r="E15" s="434"/>
      <c r="F15" s="151"/>
      <c r="O15" s="435" t="s">
        <v>263</v>
      </c>
      <c r="P15" s="185" t="s">
        <v>264</v>
      </c>
      <c r="Q15" s="437" t="s">
        <v>265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34"/>
      <c r="E16" s="434"/>
      <c r="F16" s="151"/>
      <c r="J16" s="440" t="s">
        <v>266</v>
      </c>
      <c r="K16" s="440"/>
      <c r="L16" s="441"/>
      <c r="M16" s="441"/>
      <c r="N16" s="441"/>
      <c r="O16" s="436"/>
      <c r="P16" s="186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414" t="s">
        <v>270</v>
      </c>
      <c r="B18" s="415"/>
      <c r="C18" s="415"/>
      <c r="D18" s="415"/>
      <c r="E18" s="415"/>
      <c r="F18" s="416"/>
      <c r="G18" s="187" t="s">
        <v>271</v>
      </c>
      <c r="H18" s="417" t="s">
        <v>272</v>
      </c>
      <c r="I18" s="418"/>
      <c r="J18" s="419"/>
      <c r="K18" s="188" t="s">
        <v>273</v>
      </c>
      <c r="L18" s="420" t="s">
        <v>294</v>
      </c>
      <c r="M18" s="421"/>
      <c r="N18" s="422"/>
      <c r="O18" s="423" t="s">
        <v>275</v>
      </c>
      <c r="P18" s="424"/>
      <c r="Q18" s="189" t="s">
        <v>295</v>
      </c>
      <c r="R18" s="425" t="s">
        <v>296</v>
      </c>
      <c r="S18" s="426"/>
      <c r="T18" s="427"/>
      <c r="U18" s="428" t="s">
        <v>278</v>
      </c>
      <c r="V18" s="429"/>
    </row>
    <row r="19" spans="1:22" ht="21.95" customHeight="1">
      <c r="A19" s="190">
        <v>1</v>
      </c>
      <c r="B19" s="400" t="s">
        <v>279</v>
      </c>
      <c r="C19" s="401"/>
      <c r="D19" s="401"/>
      <c r="E19" s="401"/>
      <c r="F19" s="402"/>
      <c r="G19" s="158" t="s">
        <v>297</v>
      </c>
      <c r="H19" s="403">
        <v>130730000</v>
      </c>
      <c r="I19" s="404"/>
      <c r="J19" s="405"/>
      <c r="K19" s="191">
        <f t="shared" ref="K19:K28" si="0">IFERROR(ROUND(L19/H19,3),"")</f>
        <v>0.04</v>
      </c>
      <c r="L19" s="406">
        <v>5200000</v>
      </c>
      <c r="M19" s="406"/>
      <c r="N19" s="407"/>
      <c r="O19" s="408"/>
      <c r="P19" s="409"/>
      <c r="Q19" s="192">
        <f t="shared" ref="Q19:Q28" si="1">IFERROR(ROUND(R19/H19,3),"")</f>
        <v>0.499</v>
      </c>
      <c r="R19" s="410">
        <v>65200000</v>
      </c>
      <c r="S19" s="410"/>
      <c r="T19" s="411"/>
      <c r="U19" s="412"/>
      <c r="V19" s="413"/>
    </row>
    <row r="20" spans="1:22" ht="21.95" customHeight="1">
      <c r="A20" s="193">
        <v>2</v>
      </c>
      <c r="B20" s="399"/>
      <c r="C20" s="386"/>
      <c r="D20" s="386"/>
      <c r="E20" s="386"/>
      <c r="F20" s="387"/>
      <c r="G20" s="162"/>
      <c r="H20" s="388"/>
      <c r="I20" s="389"/>
      <c r="J20" s="390"/>
      <c r="K20" s="194" t="str">
        <f t="shared" si="0"/>
        <v/>
      </c>
      <c r="L20" s="391"/>
      <c r="M20" s="391"/>
      <c r="N20" s="392"/>
      <c r="O20" s="393"/>
      <c r="P20" s="394"/>
      <c r="Q20" s="195" t="str">
        <f t="shared" si="1"/>
        <v/>
      </c>
      <c r="R20" s="395"/>
      <c r="S20" s="395"/>
      <c r="T20" s="396"/>
      <c r="U20" s="397"/>
      <c r="V20" s="398"/>
    </row>
    <row r="21" spans="1:22" ht="21.95" customHeight="1">
      <c r="A21" s="193">
        <v>3</v>
      </c>
      <c r="B21" s="386"/>
      <c r="C21" s="386"/>
      <c r="D21" s="386"/>
      <c r="E21" s="386"/>
      <c r="F21" s="387"/>
      <c r="G21" s="162"/>
      <c r="H21" s="388"/>
      <c r="I21" s="389"/>
      <c r="J21" s="390"/>
      <c r="K21" s="194" t="str">
        <f t="shared" si="0"/>
        <v/>
      </c>
      <c r="L21" s="391"/>
      <c r="M21" s="391"/>
      <c r="N21" s="392"/>
      <c r="O21" s="393"/>
      <c r="P21" s="394"/>
      <c r="Q21" s="195" t="str">
        <f t="shared" si="1"/>
        <v/>
      </c>
      <c r="R21" s="395"/>
      <c r="S21" s="395"/>
      <c r="T21" s="396"/>
      <c r="U21" s="397"/>
      <c r="V21" s="398"/>
    </row>
    <row r="22" spans="1:22" ht="21.95" customHeight="1">
      <c r="A22" s="193">
        <v>4</v>
      </c>
      <c r="B22" s="386"/>
      <c r="C22" s="386"/>
      <c r="D22" s="386"/>
      <c r="E22" s="386"/>
      <c r="F22" s="387"/>
      <c r="G22" s="162"/>
      <c r="H22" s="388"/>
      <c r="I22" s="389"/>
      <c r="J22" s="390"/>
      <c r="K22" s="194" t="str">
        <f t="shared" si="0"/>
        <v/>
      </c>
      <c r="L22" s="391"/>
      <c r="M22" s="391"/>
      <c r="N22" s="392"/>
      <c r="O22" s="393"/>
      <c r="P22" s="394"/>
      <c r="Q22" s="195" t="str">
        <f t="shared" si="1"/>
        <v/>
      </c>
      <c r="R22" s="395"/>
      <c r="S22" s="395"/>
      <c r="T22" s="396"/>
      <c r="U22" s="397"/>
      <c r="V22" s="398"/>
    </row>
    <row r="23" spans="1:22" ht="21.95" customHeight="1">
      <c r="A23" s="193">
        <v>5</v>
      </c>
      <c r="B23" s="386"/>
      <c r="C23" s="386"/>
      <c r="D23" s="386"/>
      <c r="E23" s="386"/>
      <c r="F23" s="387"/>
      <c r="G23" s="162"/>
      <c r="H23" s="388"/>
      <c r="I23" s="389"/>
      <c r="J23" s="390"/>
      <c r="K23" s="194" t="str">
        <f t="shared" si="0"/>
        <v/>
      </c>
      <c r="L23" s="391"/>
      <c r="M23" s="391"/>
      <c r="N23" s="392"/>
      <c r="O23" s="393"/>
      <c r="P23" s="394"/>
      <c r="Q23" s="195" t="str">
        <f t="shared" si="1"/>
        <v/>
      </c>
      <c r="R23" s="395"/>
      <c r="S23" s="395"/>
      <c r="T23" s="396"/>
      <c r="U23" s="397"/>
      <c r="V23" s="398"/>
    </row>
    <row r="24" spans="1:22" ht="21.95" customHeight="1">
      <c r="A24" s="193">
        <v>6</v>
      </c>
      <c r="B24" s="386"/>
      <c r="C24" s="386"/>
      <c r="D24" s="386"/>
      <c r="E24" s="386"/>
      <c r="F24" s="387"/>
      <c r="G24" s="162"/>
      <c r="H24" s="388"/>
      <c r="I24" s="389"/>
      <c r="J24" s="390"/>
      <c r="K24" s="194" t="str">
        <f t="shared" si="0"/>
        <v/>
      </c>
      <c r="L24" s="391"/>
      <c r="M24" s="391"/>
      <c r="N24" s="392"/>
      <c r="O24" s="393"/>
      <c r="P24" s="394"/>
      <c r="Q24" s="195" t="str">
        <f t="shared" si="1"/>
        <v/>
      </c>
      <c r="R24" s="395"/>
      <c r="S24" s="395"/>
      <c r="T24" s="396"/>
      <c r="U24" s="397"/>
      <c r="V24" s="398"/>
    </row>
    <row r="25" spans="1:22" ht="21.95" customHeight="1">
      <c r="A25" s="193">
        <v>7</v>
      </c>
      <c r="B25" s="386"/>
      <c r="C25" s="386"/>
      <c r="D25" s="386"/>
      <c r="E25" s="386"/>
      <c r="F25" s="387"/>
      <c r="G25" s="162"/>
      <c r="H25" s="388"/>
      <c r="I25" s="389"/>
      <c r="J25" s="390"/>
      <c r="K25" s="194" t="str">
        <f t="shared" si="0"/>
        <v/>
      </c>
      <c r="L25" s="391"/>
      <c r="M25" s="391"/>
      <c r="N25" s="392"/>
      <c r="O25" s="393"/>
      <c r="P25" s="394"/>
      <c r="Q25" s="195" t="str">
        <f t="shared" si="1"/>
        <v/>
      </c>
      <c r="R25" s="395"/>
      <c r="S25" s="395"/>
      <c r="T25" s="396"/>
      <c r="U25" s="397"/>
      <c r="V25" s="398"/>
    </row>
    <row r="26" spans="1:22" ht="21.95" customHeight="1">
      <c r="A26" s="193">
        <v>8</v>
      </c>
      <c r="B26" s="386"/>
      <c r="C26" s="386"/>
      <c r="D26" s="386"/>
      <c r="E26" s="386"/>
      <c r="F26" s="387"/>
      <c r="G26" s="162"/>
      <c r="H26" s="388"/>
      <c r="I26" s="389"/>
      <c r="J26" s="390"/>
      <c r="K26" s="194" t="str">
        <f t="shared" si="0"/>
        <v/>
      </c>
      <c r="L26" s="391"/>
      <c r="M26" s="391"/>
      <c r="N26" s="392"/>
      <c r="O26" s="393"/>
      <c r="P26" s="394"/>
      <c r="Q26" s="195" t="str">
        <f t="shared" si="1"/>
        <v/>
      </c>
      <c r="R26" s="395"/>
      <c r="S26" s="395"/>
      <c r="T26" s="396"/>
      <c r="U26" s="397"/>
      <c r="V26" s="398"/>
    </row>
    <row r="27" spans="1:22" ht="21.95" customHeight="1">
      <c r="A27" s="193">
        <v>9</v>
      </c>
      <c r="B27" s="386"/>
      <c r="C27" s="386"/>
      <c r="D27" s="386"/>
      <c r="E27" s="386"/>
      <c r="F27" s="387"/>
      <c r="G27" s="162"/>
      <c r="H27" s="388"/>
      <c r="I27" s="389"/>
      <c r="J27" s="390"/>
      <c r="K27" s="194" t="str">
        <f t="shared" si="0"/>
        <v/>
      </c>
      <c r="L27" s="391"/>
      <c r="M27" s="391"/>
      <c r="N27" s="392"/>
      <c r="O27" s="393"/>
      <c r="P27" s="394"/>
      <c r="Q27" s="195" t="str">
        <f t="shared" si="1"/>
        <v/>
      </c>
      <c r="R27" s="395"/>
      <c r="S27" s="395"/>
      <c r="T27" s="396"/>
      <c r="U27" s="397"/>
      <c r="V27" s="398"/>
    </row>
    <row r="28" spans="1:22" ht="21.95" customHeight="1" thickBot="1">
      <c r="A28" s="196">
        <v>10</v>
      </c>
      <c r="B28" s="373"/>
      <c r="C28" s="373"/>
      <c r="D28" s="373"/>
      <c r="E28" s="373"/>
      <c r="F28" s="374"/>
      <c r="G28" s="166"/>
      <c r="H28" s="375"/>
      <c r="I28" s="376"/>
      <c r="J28" s="377"/>
      <c r="K28" s="197" t="str">
        <f t="shared" si="0"/>
        <v/>
      </c>
      <c r="L28" s="378"/>
      <c r="M28" s="378"/>
      <c r="N28" s="379"/>
      <c r="O28" s="380"/>
      <c r="P28" s="381"/>
      <c r="Q28" s="198" t="str">
        <f t="shared" si="1"/>
        <v/>
      </c>
      <c r="R28" s="382"/>
      <c r="S28" s="382"/>
      <c r="T28" s="383"/>
      <c r="U28" s="384"/>
      <c r="V28" s="385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357" t="s">
        <v>281</v>
      </c>
      <c r="L30" s="358"/>
      <c r="M30" s="358"/>
      <c r="N30" s="358"/>
      <c r="O30" s="359"/>
      <c r="P30" s="175" t="s">
        <v>282</v>
      </c>
      <c r="Q30" s="360">
        <f>SUM(L19:N28)</f>
        <v>5200000</v>
      </c>
      <c r="R30" s="361"/>
      <c r="S30" s="362" t="s">
        <v>283</v>
      </c>
      <c r="T30" s="363"/>
      <c r="U30" s="364">
        <f>SUM(U19:V28)</f>
        <v>0</v>
      </c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333" t="s">
        <v>284</v>
      </c>
      <c r="L31" s="334"/>
      <c r="M31" s="334"/>
      <c r="N31" s="334"/>
      <c r="O31" s="366"/>
      <c r="P31" s="176" t="s">
        <v>282</v>
      </c>
      <c r="Q31" s="367">
        <f>Q30*0.1</f>
        <v>520000</v>
      </c>
      <c r="R31" s="368"/>
      <c r="S31" s="369" t="s">
        <v>283</v>
      </c>
      <c r="T31" s="370"/>
      <c r="U31" s="371">
        <f>U30*1.08-U30</f>
        <v>0</v>
      </c>
      <c r="V31" s="372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343" t="s">
        <v>285</v>
      </c>
      <c r="L32" s="344"/>
      <c r="M32" s="344"/>
      <c r="N32" s="344"/>
      <c r="O32" s="345"/>
      <c r="P32" s="177" t="s">
        <v>282</v>
      </c>
      <c r="Q32" s="346">
        <f>Q30+Q31</f>
        <v>5720000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352" t="s">
        <v>286</v>
      </c>
      <c r="L33" s="353"/>
      <c r="M33" s="353"/>
      <c r="N33" s="353"/>
      <c r="O33" s="353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333" t="s">
        <v>287</v>
      </c>
      <c r="L34" s="334"/>
      <c r="M34" s="334"/>
      <c r="N34" s="334"/>
      <c r="O34" s="334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338" t="s">
        <v>288</v>
      </c>
      <c r="L35" s="339"/>
      <c r="M35" s="339"/>
      <c r="N35" s="339"/>
      <c r="O35" s="339"/>
      <c r="P35" s="340">
        <f>Q32+U32+P33</f>
        <v>5720000</v>
      </c>
      <c r="Q35" s="341"/>
      <c r="R35" s="341"/>
      <c r="S35" s="341"/>
      <c r="T35" s="341"/>
      <c r="U35" s="341"/>
      <c r="V35" s="342"/>
    </row>
    <row r="36" spans="2:22" ht="13.5" customHeight="1"/>
  </sheetData>
  <sheetProtection algorithmName="SHA-512" hashValue="oFWKqJpz91Pe2ryeiBPuj54bHKVgo+c4qpU7Nyfk0z03d+D/wYVSte0ovfaIkq1uD/piuUEH2LSrAZK6tn4Dbg==" saltValue="ooGqYITCURsFQl+GJw4mwA==" spinCount="100000" sheet="1" formatCells="0" formatColumns="0" formatRows="0" insertColumns="0" selectLockedCells="1"/>
  <mergeCells count="113"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P14:Q14"/>
    <mergeCell ref="S14:V14"/>
    <mergeCell ref="D15:E15"/>
    <mergeCell ref="O15:O16"/>
    <mergeCell ref="Q15:V15"/>
    <mergeCell ref="D16:E16"/>
    <mergeCell ref="J16:K16"/>
    <mergeCell ref="L16:N16"/>
    <mergeCell ref="Q16:V16"/>
    <mergeCell ref="C12:D13"/>
    <mergeCell ref="E12:J13"/>
    <mergeCell ref="P13:Q13"/>
    <mergeCell ref="S13:V13"/>
    <mergeCell ref="C5:G5"/>
    <mergeCell ref="O5:O6"/>
    <mergeCell ref="P5:V6"/>
    <mergeCell ref="C6:H6"/>
    <mergeCell ref="O7:O8"/>
    <mergeCell ref="P7:V8"/>
    <mergeCell ref="C8:H8"/>
    <mergeCell ref="B1:V1"/>
    <mergeCell ref="P2:Q2"/>
    <mergeCell ref="R2:V2"/>
    <mergeCell ref="P3:Q3"/>
    <mergeCell ref="R3:S3"/>
    <mergeCell ref="T3:V3"/>
    <mergeCell ref="P9:V9"/>
    <mergeCell ref="C10:H10"/>
    <mergeCell ref="P10:V10"/>
  </mergeCells>
  <phoneticPr fontId="2"/>
  <dataValidations count="1">
    <dataValidation type="list" allowBlank="1" showInputMessage="1" showErrorMessage="1" sqref="G19:G28" xr:uid="{720BDDBC-75F1-40B1-A82E-DE3BA35A3BDE}">
      <formula1>"請負,常用"</formula1>
    </dataValidation>
  </dataValidations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72C1-8E4F-450D-8370-80328348F58B}">
  <sheetPr codeName="Sheet2">
    <tabColor rgb="FF92D050"/>
  </sheetPr>
  <dimension ref="A1:Y36"/>
  <sheetViews>
    <sheetView showGridLines="0" showZeros="0" zoomScale="85" zoomScaleNormal="85" zoomScaleSheetLayoutView="85" workbookViewId="0">
      <selection activeCell="R20" sqref="R20:T20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65" t="s">
        <v>238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66" t="s">
        <v>239</v>
      </c>
      <c r="Q2" s="467"/>
      <c r="R2" s="468">
        <v>45900</v>
      </c>
      <c r="S2" s="469"/>
      <c r="T2" s="469"/>
      <c r="U2" s="469"/>
      <c r="V2" s="470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71" t="s">
        <v>240</v>
      </c>
      <c r="Q3" s="472"/>
      <c r="R3" s="473" t="s">
        <v>290</v>
      </c>
      <c r="S3" s="474"/>
      <c r="T3" s="475" t="s">
        <v>291</v>
      </c>
      <c r="U3" s="475"/>
      <c r="V3" s="476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59" t="s">
        <v>242</v>
      </c>
      <c r="D5" s="459"/>
      <c r="E5" s="459"/>
      <c r="F5" s="459"/>
      <c r="G5" s="459"/>
      <c r="H5" s="178"/>
      <c r="I5" s="178"/>
      <c r="J5" s="178"/>
      <c r="O5" s="460" t="s">
        <v>243</v>
      </c>
      <c r="P5" s="461" t="s">
        <v>292</v>
      </c>
      <c r="Q5" s="461"/>
      <c r="R5" s="461"/>
      <c r="S5" s="461"/>
      <c r="T5" s="461"/>
      <c r="U5" s="461"/>
      <c r="V5" s="461"/>
    </row>
    <row r="6" spans="2:25" ht="18" customHeight="1">
      <c r="C6" s="462" t="s">
        <v>245</v>
      </c>
      <c r="D6" s="462"/>
      <c r="E6" s="462"/>
      <c r="F6" s="462"/>
      <c r="G6" s="462"/>
      <c r="H6" s="462"/>
      <c r="I6" s="180"/>
      <c r="J6" s="180"/>
      <c r="O6" s="460"/>
      <c r="P6" s="461"/>
      <c r="Q6" s="461"/>
      <c r="R6" s="461"/>
      <c r="S6" s="461"/>
      <c r="T6" s="461"/>
      <c r="U6" s="461"/>
      <c r="V6" s="461"/>
    </row>
    <row r="7" spans="2:25" ht="16.5" customHeight="1">
      <c r="C7" s="178"/>
      <c r="D7" s="178"/>
      <c r="E7" s="178"/>
      <c r="F7" s="180"/>
      <c r="G7" s="180"/>
      <c r="H7" s="180"/>
      <c r="I7" s="180"/>
      <c r="J7" s="180"/>
      <c r="K7" s="143"/>
      <c r="L7" s="143"/>
      <c r="M7" s="144"/>
      <c r="N7" s="144"/>
      <c r="O7" s="460" t="s">
        <v>246</v>
      </c>
      <c r="P7" s="463" t="s">
        <v>293</v>
      </c>
      <c r="Q7" s="463"/>
      <c r="R7" s="463"/>
      <c r="S7" s="463"/>
      <c r="T7" s="463"/>
      <c r="U7" s="463"/>
      <c r="V7" s="463"/>
    </row>
    <row r="8" spans="2:25" ht="18" customHeight="1">
      <c r="C8" s="464" t="s">
        <v>248</v>
      </c>
      <c r="D8" s="464"/>
      <c r="E8" s="464"/>
      <c r="F8" s="464"/>
      <c r="G8" s="464"/>
      <c r="H8" s="464"/>
      <c r="I8" s="178"/>
      <c r="J8" s="178"/>
      <c r="L8" s="145"/>
      <c r="M8" s="145"/>
      <c r="N8" s="145"/>
      <c r="O8" s="460"/>
      <c r="P8" s="463"/>
      <c r="Q8" s="463"/>
      <c r="R8" s="463"/>
      <c r="S8" s="463"/>
      <c r="T8" s="463"/>
      <c r="U8" s="463"/>
      <c r="V8" s="463"/>
    </row>
    <row r="9" spans="2:25" ht="18" customHeight="1">
      <c r="C9" s="178"/>
      <c r="D9" s="178"/>
      <c r="E9" s="178"/>
      <c r="F9" s="178"/>
      <c r="G9" s="178"/>
      <c r="H9" s="178"/>
      <c r="I9" s="178"/>
      <c r="J9" s="178"/>
      <c r="O9" s="179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60" t="s">
        <v>251</v>
      </c>
      <c r="D10" s="460"/>
      <c r="E10" s="460"/>
      <c r="F10" s="460"/>
      <c r="G10" s="460"/>
      <c r="H10" s="460"/>
      <c r="I10" s="178"/>
      <c r="J10" s="178"/>
      <c r="L10" s="145"/>
      <c r="M10" s="145"/>
      <c r="N10" s="145"/>
      <c r="O10" s="179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>
      <c r="C11" s="178"/>
      <c r="D11" s="178"/>
      <c r="E11" s="178"/>
      <c r="F11" s="178"/>
      <c r="G11" s="178"/>
      <c r="H11" s="178"/>
      <c r="I11" s="178"/>
      <c r="J11" s="178"/>
      <c r="O11" s="178"/>
    </row>
    <row r="12" spans="2:25" ht="15" customHeight="1" thickBot="1">
      <c r="C12" s="445" t="s">
        <v>254</v>
      </c>
      <c r="D12" s="446"/>
      <c r="E12" s="449">
        <f>P35</f>
        <v>16500000</v>
      </c>
      <c r="F12" s="450"/>
      <c r="G12" s="450"/>
      <c r="H12" s="450"/>
      <c r="I12" s="450"/>
      <c r="J12" s="451"/>
      <c r="N12" s="145"/>
      <c r="O12" s="178" t="s">
        <v>255</v>
      </c>
    </row>
    <row r="13" spans="2:25" ht="24" customHeight="1" thickBot="1">
      <c r="C13" s="447"/>
      <c r="D13" s="448"/>
      <c r="E13" s="452"/>
      <c r="F13" s="453"/>
      <c r="G13" s="453"/>
      <c r="H13" s="453"/>
      <c r="I13" s="453"/>
      <c r="J13" s="454"/>
      <c r="N13" s="145"/>
      <c r="O13" s="181" t="s">
        <v>256</v>
      </c>
      <c r="P13" s="455" t="s">
        <v>257</v>
      </c>
      <c r="Q13" s="455"/>
      <c r="R13" s="182" t="s">
        <v>258</v>
      </c>
      <c r="S13" s="456" t="s">
        <v>259</v>
      </c>
      <c r="T13" s="457"/>
      <c r="U13" s="457"/>
      <c r="V13" s="458"/>
    </row>
    <row r="14" spans="2:25" ht="24" customHeight="1">
      <c r="O14" s="183" t="s">
        <v>260</v>
      </c>
      <c r="P14" s="430" t="s">
        <v>261</v>
      </c>
      <c r="Q14" s="430"/>
      <c r="R14" s="184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34"/>
      <c r="E15" s="434"/>
      <c r="F15" s="151"/>
      <c r="O15" s="435" t="s">
        <v>263</v>
      </c>
      <c r="P15" s="185" t="s">
        <v>264</v>
      </c>
      <c r="Q15" s="437" t="s">
        <v>265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34"/>
      <c r="E16" s="434"/>
      <c r="F16" s="151"/>
      <c r="J16" s="440" t="s">
        <v>266</v>
      </c>
      <c r="K16" s="440"/>
      <c r="L16" s="441"/>
      <c r="M16" s="441"/>
      <c r="N16" s="441"/>
      <c r="O16" s="436"/>
      <c r="P16" s="186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414" t="s">
        <v>270</v>
      </c>
      <c r="B18" s="415"/>
      <c r="C18" s="415"/>
      <c r="D18" s="415"/>
      <c r="E18" s="415"/>
      <c r="F18" s="416"/>
      <c r="G18" s="187" t="s">
        <v>271</v>
      </c>
      <c r="H18" s="417" t="s">
        <v>272</v>
      </c>
      <c r="I18" s="418"/>
      <c r="J18" s="419"/>
      <c r="K18" s="188" t="s">
        <v>273</v>
      </c>
      <c r="L18" s="420" t="s">
        <v>294</v>
      </c>
      <c r="M18" s="421"/>
      <c r="N18" s="422"/>
      <c r="O18" s="423" t="s">
        <v>275</v>
      </c>
      <c r="P18" s="424"/>
      <c r="Q18" s="189" t="s">
        <v>295</v>
      </c>
      <c r="R18" s="425" t="s">
        <v>296</v>
      </c>
      <c r="S18" s="426"/>
      <c r="T18" s="427"/>
      <c r="U18" s="428" t="s">
        <v>278</v>
      </c>
      <c r="V18" s="429"/>
    </row>
    <row r="19" spans="1:22" ht="21.95" customHeight="1">
      <c r="A19" s="190">
        <v>1</v>
      </c>
      <c r="B19" s="400" t="s">
        <v>279</v>
      </c>
      <c r="C19" s="401"/>
      <c r="D19" s="401"/>
      <c r="E19" s="401"/>
      <c r="F19" s="402"/>
      <c r="G19" s="158" t="s">
        <v>297</v>
      </c>
      <c r="H19" s="403">
        <v>130730000</v>
      </c>
      <c r="I19" s="404"/>
      <c r="J19" s="405"/>
      <c r="K19" s="191">
        <f t="shared" ref="K19:K28" si="0">IFERROR(ROUND(L19/H19,3),"")</f>
        <v>0.115</v>
      </c>
      <c r="L19" s="406">
        <v>15000000</v>
      </c>
      <c r="M19" s="406"/>
      <c r="N19" s="407"/>
      <c r="O19" s="408"/>
      <c r="P19" s="409"/>
      <c r="Q19" s="192">
        <f t="shared" ref="Q19:Q28" si="1">IFERROR(ROUND(R19/H19,3),"")</f>
        <v>0.45900000000000002</v>
      </c>
      <c r="R19" s="410">
        <v>60000000</v>
      </c>
      <c r="S19" s="410"/>
      <c r="T19" s="411"/>
      <c r="U19" s="412"/>
      <c r="V19" s="413"/>
    </row>
    <row r="20" spans="1:22" ht="21.95" customHeight="1">
      <c r="A20" s="193">
        <v>2</v>
      </c>
      <c r="B20" s="399"/>
      <c r="C20" s="386"/>
      <c r="D20" s="386"/>
      <c r="E20" s="386"/>
      <c r="F20" s="387"/>
      <c r="G20" s="162"/>
      <c r="H20" s="388"/>
      <c r="I20" s="389"/>
      <c r="J20" s="390"/>
      <c r="K20" s="194" t="str">
        <f t="shared" si="0"/>
        <v/>
      </c>
      <c r="L20" s="391"/>
      <c r="M20" s="391"/>
      <c r="N20" s="392"/>
      <c r="O20" s="393"/>
      <c r="P20" s="394"/>
      <c r="Q20" s="195" t="str">
        <f t="shared" si="1"/>
        <v/>
      </c>
      <c r="R20" s="395"/>
      <c r="S20" s="395"/>
      <c r="T20" s="396"/>
      <c r="U20" s="397"/>
      <c r="V20" s="398"/>
    </row>
    <row r="21" spans="1:22" ht="21.95" customHeight="1">
      <c r="A21" s="193">
        <v>3</v>
      </c>
      <c r="B21" s="386"/>
      <c r="C21" s="386"/>
      <c r="D21" s="386"/>
      <c r="E21" s="386"/>
      <c r="F21" s="387"/>
      <c r="G21" s="162"/>
      <c r="H21" s="388"/>
      <c r="I21" s="389"/>
      <c r="J21" s="390"/>
      <c r="K21" s="194" t="str">
        <f t="shared" si="0"/>
        <v/>
      </c>
      <c r="L21" s="391"/>
      <c r="M21" s="391"/>
      <c r="N21" s="392"/>
      <c r="O21" s="393"/>
      <c r="P21" s="394"/>
      <c r="Q21" s="195" t="str">
        <f t="shared" si="1"/>
        <v/>
      </c>
      <c r="R21" s="395"/>
      <c r="S21" s="395"/>
      <c r="T21" s="396"/>
      <c r="U21" s="397"/>
      <c r="V21" s="398"/>
    </row>
    <row r="22" spans="1:22" ht="21.95" customHeight="1">
      <c r="A22" s="193">
        <v>4</v>
      </c>
      <c r="B22" s="386"/>
      <c r="C22" s="386"/>
      <c r="D22" s="386"/>
      <c r="E22" s="386"/>
      <c r="F22" s="387"/>
      <c r="G22" s="162"/>
      <c r="H22" s="388"/>
      <c r="I22" s="389"/>
      <c r="J22" s="390"/>
      <c r="K22" s="194" t="str">
        <f t="shared" si="0"/>
        <v/>
      </c>
      <c r="L22" s="391"/>
      <c r="M22" s="391"/>
      <c r="N22" s="392"/>
      <c r="O22" s="393"/>
      <c r="P22" s="394"/>
      <c r="Q22" s="195" t="str">
        <f t="shared" si="1"/>
        <v/>
      </c>
      <c r="R22" s="395"/>
      <c r="S22" s="395"/>
      <c r="T22" s="396"/>
      <c r="U22" s="397"/>
      <c r="V22" s="398"/>
    </row>
    <row r="23" spans="1:22" ht="21.95" customHeight="1">
      <c r="A23" s="193">
        <v>5</v>
      </c>
      <c r="B23" s="386"/>
      <c r="C23" s="386"/>
      <c r="D23" s="386"/>
      <c r="E23" s="386"/>
      <c r="F23" s="387"/>
      <c r="G23" s="162"/>
      <c r="H23" s="388"/>
      <c r="I23" s="389"/>
      <c r="J23" s="390"/>
      <c r="K23" s="194" t="str">
        <f t="shared" si="0"/>
        <v/>
      </c>
      <c r="L23" s="391"/>
      <c r="M23" s="391"/>
      <c r="N23" s="392"/>
      <c r="O23" s="393"/>
      <c r="P23" s="394"/>
      <c r="Q23" s="195" t="str">
        <f t="shared" si="1"/>
        <v/>
      </c>
      <c r="R23" s="395"/>
      <c r="S23" s="395"/>
      <c r="T23" s="396"/>
      <c r="U23" s="397"/>
      <c r="V23" s="398"/>
    </row>
    <row r="24" spans="1:22" ht="21.95" customHeight="1">
      <c r="A24" s="193">
        <v>6</v>
      </c>
      <c r="B24" s="386"/>
      <c r="C24" s="386"/>
      <c r="D24" s="386"/>
      <c r="E24" s="386"/>
      <c r="F24" s="387"/>
      <c r="G24" s="162"/>
      <c r="H24" s="388"/>
      <c r="I24" s="389"/>
      <c r="J24" s="390"/>
      <c r="K24" s="194" t="str">
        <f t="shared" si="0"/>
        <v/>
      </c>
      <c r="L24" s="391"/>
      <c r="M24" s="391"/>
      <c r="N24" s="392"/>
      <c r="O24" s="393"/>
      <c r="P24" s="394"/>
      <c r="Q24" s="195" t="str">
        <f t="shared" si="1"/>
        <v/>
      </c>
      <c r="R24" s="395"/>
      <c r="S24" s="395"/>
      <c r="T24" s="396"/>
      <c r="U24" s="397"/>
      <c r="V24" s="398"/>
    </row>
    <row r="25" spans="1:22" ht="21.95" customHeight="1">
      <c r="A25" s="193">
        <v>7</v>
      </c>
      <c r="B25" s="386"/>
      <c r="C25" s="386"/>
      <c r="D25" s="386"/>
      <c r="E25" s="386"/>
      <c r="F25" s="387"/>
      <c r="G25" s="162"/>
      <c r="H25" s="388"/>
      <c r="I25" s="389"/>
      <c r="J25" s="390"/>
      <c r="K25" s="194" t="str">
        <f t="shared" si="0"/>
        <v/>
      </c>
      <c r="L25" s="391"/>
      <c r="M25" s="391"/>
      <c r="N25" s="392"/>
      <c r="O25" s="393"/>
      <c r="P25" s="394"/>
      <c r="Q25" s="195" t="str">
        <f t="shared" si="1"/>
        <v/>
      </c>
      <c r="R25" s="395"/>
      <c r="S25" s="395"/>
      <c r="T25" s="396"/>
      <c r="U25" s="397"/>
      <c r="V25" s="398"/>
    </row>
    <row r="26" spans="1:22" ht="21.95" customHeight="1">
      <c r="A26" s="193">
        <v>8</v>
      </c>
      <c r="B26" s="386"/>
      <c r="C26" s="386"/>
      <c r="D26" s="386"/>
      <c r="E26" s="386"/>
      <c r="F26" s="387"/>
      <c r="G26" s="162"/>
      <c r="H26" s="388"/>
      <c r="I26" s="389"/>
      <c r="J26" s="390"/>
      <c r="K26" s="194" t="str">
        <f t="shared" si="0"/>
        <v/>
      </c>
      <c r="L26" s="391"/>
      <c r="M26" s="391"/>
      <c r="N26" s="392"/>
      <c r="O26" s="393"/>
      <c r="P26" s="394"/>
      <c r="Q26" s="195" t="str">
        <f t="shared" si="1"/>
        <v/>
      </c>
      <c r="R26" s="395"/>
      <c r="S26" s="395"/>
      <c r="T26" s="396"/>
      <c r="U26" s="397"/>
      <c r="V26" s="398"/>
    </row>
    <row r="27" spans="1:22" ht="21.95" customHeight="1">
      <c r="A27" s="193">
        <v>9</v>
      </c>
      <c r="B27" s="386"/>
      <c r="C27" s="386"/>
      <c r="D27" s="386"/>
      <c r="E27" s="386"/>
      <c r="F27" s="387"/>
      <c r="G27" s="162"/>
      <c r="H27" s="388"/>
      <c r="I27" s="389"/>
      <c r="J27" s="390"/>
      <c r="K27" s="194" t="str">
        <f t="shared" si="0"/>
        <v/>
      </c>
      <c r="L27" s="391"/>
      <c r="M27" s="391"/>
      <c r="N27" s="392"/>
      <c r="O27" s="393"/>
      <c r="P27" s="394"/>
      <c r="Q27" s="195" t="str">
        <f t="shared" si="1"/>
        <v/>
      </c>
      <c r="R27" s="395"/>
      <c r="S27" s="395"/>
      <c r="T27" s="396"/>
      <c r="U27" s="397"/>
      <c r="V27" s="398"/>
    </row>
    <row r="28" spans="1:22" ht="21.95" customHeight="1" thickBot="1">
      <c r="A28" s="196">
        <v>10</v>
      </c>
      <c r="B28" s="373"/>
      <c r="C28" s="373"/>
      <c r="D28" s="373"/>
      <c r="E28" s="373"/>
      <c r="F28" s="374"/>
      <c r="G28" s="166"/>
      <c r="H28" s="375"/>
      <c r="I28" s="376"/>
      <c r="J28" s="377"/>
      <c r="K28" s="197" t="str">
        <f t="shared" si="0"/>
        <v/>
      </c>
      <c r="L28" s="378"/>
      <c r="M28" s="378"/>
      <c r="N28" s="379"/>
      <c r="O28" s="380"/>
      <c r="P28" s="381"/>
      <c r="Q28" s="198" t="str">
        <f t="shared" si="1"/>
        <v/>
      </c>
      <c r="R28" s="382"/>
      <c r="S28" s="382"/>
      <c r="T28" s="383"/>
      <c r="U28" s="384"/>
      <c r="V28" s="385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357" t="s">
        <v>281</v>
      </c>
      <c r="L30" s="358"/>
      <c r="M30" s="358"/>
      <c r="N30" s="358"/>
      <c r="O30" s="359"/>
      <c r="P30" s="175" t="s">
        <v>282</v>
      </c>
      <c r="Q30" s="360">
        <f>SUM(L19:N28)</f>
        <v>15000000</v>
      </c>
      <c r="R30" s="361"/>
      <c r="S30" s="362" t="s">
        <v>283</v>
      </c>
      <c r="T30" s="363"/>
      <c r="U30" s="364">
        <f>SUM(U19:V28)</f>
        <v>0</v>
      </c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333" t="s">
        <v>284</v>
      </c>
      <c r="L31" s="334"/>
      <c r="M31" s="334"/>
      <c r="N31" s="334"/>
      <c r="O31" s="366"/>
      <c r="P31" s="176" t="s">
        <v>282</v>
      </c>
      <c r="Q31" s="367">
        <f>Q30*0.1</f>
        <v>1500000</v>
      </c>
      <c r="R31" s="368"/>
      <c r="S31" s="369" t="s">
        <v>283</v>
      </c>
      <c r="T31" s="370"/>
      <c r="U31" s="371">
        <f>U30*1.08-U30</f>
        <v>0</v>
      </c>
      <c r="V31" s="372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343" t="s">
        <v>285</v>
      </c>
      <c r="L32" s="344"/>
      <c r="M32" s="344"/>
      <c r="N32" s="344"/>
      <c r="O32" s="345"/>
      <c r="P32" s="177" t="s">
        <v>282</v>
      </c>
      <c r="Q32" s="346">
        <f>Q30+Q31</f>
        <v>16500000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352" t="s">
        <v>286</v>
      </c>
      <c r="L33" s="353"/>
      <c r="M33" s="353"/>
      <c r="N33" s="353"/>
      <c r="O33" s="353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333" t="s">
        <v>287</v>
      </c>
      <c r="L34" s="334"/>
      <c r="M34" s="334"/>
      <c r="N34" s="334"/>
      <c r="O34" s="334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338" t="s">
        <v>288</v>
      </c>
      <c r="L35" s="339"/>
      <c r="M35" s="339"/>
      <c r="N35" s="339"/>
      <c r="O35" s="339"/>
      <c r="P35" s="340">
        <f>Q32+U32+P33</f>
        <v>16500000</v>
      </c>
      <c r="Q35" s="341"/>
      <c r="R35" s="341"/>
      <c r="S35" s="341"/>
      <c r="T35" s="341"/>
      <c r="U35" s="341"/>
      <c r="V35" s="342"/>
    </row>
    <row r="36" spans="2:22" ht="13.5" customHeight="1"/>
  </sheetData>
  <sheetProtection algorithmName="SHA-512" hashValue="oFWKqJpz91Pe2ryeiBPuj54bHKVgo+c4qpU7Nyfk0z03d+D/wYVSte0ovfaIkq1uD/piuUEH2LSrAZK6tn4Dbg==" saltValue="ooGqYITCURsFQl+GJw4mwA==" spinCount="100000" sheet="1" formatCells="0" formatColumns="0" formatRows="0" insertColumns="0" selectLockedCells="1"/>
  <mergeCells count="113"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P14:Q14"/>
    <mergeCell ref="S14:V14"/>
    <mergeCell ref="D15:E15"/>
    <mergeCell ref="O15:O16"/>
    <mergeCell ref="Q15:V15"/>
    <mergeCell ref="D16:E16"/>
    <mergeCell ref="J16:K16"/>
    <mergeCell ref="L16:N16"/>
    <mergeCell ref="Q16:V16"/>
    <mergeCell ref="C12:D13"/>
    <mergeCell ref="E12:J13"/>
    <mergeCell ref="P13:Q13"/>
    <mergeCell ref="S13:V13"/>
    <mergeCell ref="C5:G5"/>
    <mergeCell ref="O5:O6"/>
    <mergeCell ref="P5:V6"/>
    <mergeCell ref="C6:H6"/>
    <mergeCell ref="O7:O8"/>
    <mergeCell ref="P7:V8"/>
    <mergeCell ref="C8:H8"/>
    <mergeCell ref="B1:V1"/>
    <mergeCell ref="P2:Q2"/>
    <mergeCell ref="R2:V2"/>
    <mergeCell ref="P3:Q3"/>
    <mergeCell ref="R3:S3"/>
    <mergeCell ref="T3:V3"/>
    <mergeCell ref="P9:V9"/>
    <mergeCell ref="C10:H10"/>
    <mergeCell ref="P10:V10"/>
  </mergeCells>
  <phoneticPr fontId="2"/>
  <dataValidations count="1">
    <dataValidation type="list" allowBlank="1" showInputMessage="1" showErrorMessage="1" sqref="G19:G28" xr:uid="{59DE1EE6-9FC1-4107-8FD1-BB5CD73BBC43}">
      <formula1>"請負,常用"</formula1>
    </dataValidation>
  </dataValidations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D044-218C-43A4-A438-E8B6CF192007}">
  <sheetPr codeName="Sheet1">
    <tabColor rgb="FF92D050"/>
  </sheetPr>
  <dimension ref="A1:Y36"/>
  <sheetViews>
    <sheetView showGridLines="0" showZeros="0" zoomScale="85" zoomScaleNormal="85" zoomScaleSheetLayoutView="85" workbookViewId="0">
      <selection activeCell="R19" sqref="R19:T19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65" t="s">
        <v>238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66" t="s">
        <v>239</v>
      </c>
      <c r="Q2" s="467"/>
      <c r="R2" s="468">
        <v>45869</v>
      </c>
      <c r="S2" s="469"/>
      <c r="T2" s="469"/>
      <c r="U2" s="469"/>
      <c r="V2" s="470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71" t="s">
        <v>240</v>
      </c>
      <c r="Q3" s="472"/>
      <c r="R3" s="473" t="s">
        <v>290</v>
      </c>
      <c r="S3" s="474"/>
      <c r="T3" s="475" t="s">
        <v>291</v>
      </c>
      <c r="U3" s="475"/>
      <c r="V3" s="476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59" t="s">
        <v>242</v>
      </c>
      <c r="D5" s="459"/>
      <c r="E5" s="459"/>
      <c r="F5" s="459"/>
      <c r="G5" s="459"/>
      <c r="H5" s="178"/>
      <c r="I5" s="178"/>
      <c r="J5" s="178"/>
      <c r="O5" s="460" t="s">
        <v>243</v>
      </c>
      <c r="P5" s="461" t="s">
        <v>292</v>
      </c>
      <c r="Q5" s="461"/>
      <c r="R5" s="461"/>
      <c r="S5" s="461"/>
      <c r="T5" s="461"/>
      <c r="U5" s="461"/>
      <c r="V5" s="461"/>
    </row>
    <row r="6" spans="2:25" ht="18" customHeight="1">
      <c r="C6" s="462" t="s">
        <v>245</v>
      </c>
      <c r="D6" s="462"/>
      <c r="E6" s="462"/>
      <c r="F6" s="462"/>
      <c r="G6" s="462"/>
      <c r="H6" s="462"/>
      <c r="I6" s="180"/>
      <c r="J6" s="180"/>
      <c r="O6" s="460"/>
      <c r="P6" s="461"/>
      <c r="Q6" s="461"/>
      <c r="R6" s="461"/>
      <c r="S6" s="461"/>
      <c r="T6" s="461"/>
      <c r="U6" s="461"/>
      <c r="V6" s="461"/>
    </row>
    <row r="7" spans="2:25" ht="16.5" customHeight="1">
      <c r="C7" s="178"/>
      <c r="D7" s="178"/>
      <c r="E7" s="178"/>
      <c r="F7" s="180"/>
      <c r="G7" s="180"/>
      <c r="H7" s="180"/>
      <c r="I7" s="180"/>
      <c r="J7" s="180"/>
      <c r="K7" s="143"/>
      <c r="L7" s="143"/>
      <c r="M7" s="144"/>
      <c r="N7" s="144"/>
      <c r="O7" s="460" t="s">
        <v>246</v>
      </c>
      <c r="P7" s="463" t="s">
        <v>293</v>
      </c>
      <c r="Q7" s="463"/>
      <c r="R7" s="463"/>
      <c r="S7" s="463"/>
      <c r="T7" s="463"/>
      <c r="U7" s="463"/>
      <c r="V7" s="463"/>
    </row>
    <row r="8" spans="2:25" ht="18" customHeight="1">
      <c r="C8" s="464" t="s">
        <v>248</v>
      </c>
      <c r="D8" s="464"/>
      <c r="E8" s="464"/>
      <c r="F8" s="464"/>
      <c r="G8" s="464"/>
      <c r="H8" s="464"/>
      <c r="I8" s="178"/>
      <c r="J8" s="178"/>
      <c r="L8" s="145"/>
      <c r="M8" s="145"/>
      <c r="N8" s="145"/>
      <c r="O8" s="460"/>
      <c r="P8" s="463"/>
      <c r="Q8" s="463"/>
      <c r="R8" s="463"/>
      <c r="S8" s="463"/>
      <c r="T8" s="463"/>
      <c r="U8" s="463"/>
      <c r="V8" s="463"/>
    </row>
    <row r="9" spans="2:25" ht="18" customHeight="1">
      <c r="C9" s="178"/>
      <c r="D9" s="178"/>
      <c r="E9" s="178"/>
      <c r="F9" s="178"/>
      <c r="G9" s="178"/>
      <c r="H9" s="178"/>
      <c r="I9" s="178"/>
      <c r="J9" s="178"/>
      <c r="O9" s="179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60" t="s">
        <v>251</v>
      </c>
      <c r="D10" s="460"/>
      <c r="E10" s="460"/>
      <c r="F10" s="460"/>
      <c r="G10" s="460"/>
      <c r="H10" s="460"/>
      <c r="I10" s="178"/>
      <c r="J10" s="178"/>
      <c r="L10" s="145"/>
      <c r="M10" s="145"/>
      <c r="N10" s="145"/>
      <c r="O10" s="179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>
      <c r="C11" s="178"/>
      <c r="D11" s="178"/>
      <c r="E11" s="178"/>
      <c r="F11" s="178"/>
      <c r="G11" s="178"/>
      <c r="H11" s="178"/>
      <c r="I11" s="178"/>
      <c r="J11" s="178"/>
      <c r="O11" s="178"/>
    </row>
    <row r="12" spans="2:25" ht="15" customHeight="1" thickBot="1">
      <c r="C12" s="445" t="s">
        <v>254</v>
      </c>
      <c r="D12" s="446"/>
      <c r="E12" s="449">
        <f>P35</f>
        <v>11000000</v>
      </c>
      <c r="F12" s="450"/>
      <c r="G12" s="450"/>
      <c r="H12" s="450"/>
      <c r="I12" s="450"/>
      <c r="J12" s="451"/>
      <c r="N12" s="145"/>
      <c r="O12" s="178" t="s">
        <v>255</v>
      </c>
    </row>
    <row r="13" spans="2:25" ht="24" customHeight="1" thickBot="1">
      <c r="C13" s="447"/>
      <c r="D13" s="448"/>
      <c r="E13" s="452"/>
      <c r="F13" s="453"/>
      <c r="G13" s="453"/>
      <c r="H13" s="453"/>
      <c r="I13" s="453"/>
      <c r="J13" s="454"/>
      <c r="N13" s="145"/>
      <c r="O13" s="181" t="s">
        <v>256</v>
      </c>
      <c r="P13" s="455" t="s">
        <v>257</v>
      </c>
      <c r="Q13" s="455"/>
      <c r="R13" s="182" t="s">
        <v>258</v>
      </c>
      <c r="S13" s="456" t="s">
        <v>259</v>
      </c>
      <c r="T13" s="457"/>
      <c r="U13" s="457"/>
      <c r="V13" s="458"/>
    </row>
    <row r="14" spans="2:25" ht="24" customHeight="1">
      <c r="O14" s="183" t="s">
        <v>260</v>
      </c>
      <c r="P14" s="430" t="s">
        <v>261</v>
      </c>
      <c r="Q14" s="430"/>
      <c r="R14" s="184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34"/>
      <c r="E15" s="434"/>
      <c r="F15" s="151"/>
      <c r="O15" s="435" t="s">
        <v>263</v>
      </c>
      <c r="P15" s="185" t="s">
        <v>264</v>
      </c>
      <c r="Q15" s="437" t="s">
        <v>265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34"/>
      <c r="E16" s="434"/>
      <c r="F16" s="151"/>
      <c r="J16" s="440" t="s">
        <v>266</v>
      </c>
      <c r="K16" s="440"/>
      <c r="L16" s="441"/>
      <c r="M16" s="441"/>
      <c r="N16" s="441"/>
      <c r="O16" s="436"/>
      <c r="P16" s="186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414" t="s">
        <v>270</v>
      </c>
      <c r="B18" s="415"/>
      <c r="C18" s="415"/>
      <c r="D18" s="415"/>
      <c r="E18" s="415"/>
      <c r="F18" s="416"/>
      <c r="G18" s="187" t="s">
        <v>271</v>
      </c>
      <c r="H18" s="417" t="s">
        <v>272</v>
      </c>
      <c r="I18" s="418"/>
      <c r="J18" s="419"/>
      <c r="K18" s="188" t="s">
        <v>273</v>
      </c>
      <c r="L18" s="420" t="s">
        <v>294</v>
      </c>
      <c r="M18" s="421"/>
      <c r="N18" s="422"/>
      <c r="O18" s="423" t="s">
        <v>275</v>
      </c>
      <c r="P18" s="424"/>
      <c r="Q18" s="189" t="s">
        <v>295</v>
      </c>
      <c r="R18" s="425" t="s">
        <v>296</v>
      </c>
      <c r="S18" s="426"/>
      <c r="T18" s="427"/>
      <c r="U18" s="428" t="s">
        <v>278</v>
      </c>
      <c r="V18" s="429"/>
    </row>
    <row r="19" spans="1:22" ht="21.95" customHeight="1">
      <c r="A19" s="190">
        <v>1</v>
      </c>
      <c r="B19" s="400" t="s">
        <v>279</v>
      </c>
      <c r="C19" s="401"/>
      <c r="D19" s="401"/>
      <c r="E19" s="401"/>
      <c r="F19" s="402"/>
      <c r="G19" s="158" t="s">
        <v>297</v>
      </c>
      <c r="H19" s="403">
        <v>130730000</v>
      </c>
      <c r="I19" s="404"/>
      <c r="J19" s="405"/>
      <c r="K19" s="191">
        <f t="shared" ref="K19:K28" si="0">IFERROR(ROUND(L19/H19,3),"")</f>
        <v>7.5999999999999998E-2</v>
      </c>
      <c r="L19" s="406">
        <v>10000000</v>
      </c>
      <c r="M19" s="406"/>
      <c r="N19" s="407"/>
      <c r="O19" s="408"/>
      <c r="P19" s="409"/>
      <c r="Q19" s="192">
        <f t="shared" ref="Q19:Q28" si="1">IFERROR(ROUND(R19/H19,3),"")</f>
        <v>0.34399999999999997</v>
      </c>
      <c r="R19" s="410">
        <v>45000000</v>
      </c>
      <c r="S19" s="410"/>
      <c r="T19" s="411"/>
      <c r="U19" s="412"/>
      <c r="V19" s="413"/>
    </row>
    <row r="20" spans="1:22" ht="21.95" customHeight="1">
      <c r="A20" s="193">
        <v>2</v>
      </c>
      <c r="B20" s="399"/>
      <c r="C20" s="386"/>
      <c r="D20" s="386"/>
      <c r="E20" s="386"/>
      <c r="F20" s="387"/>
      <c r="G20" s="162"/>
      <c r="H20" s="388"/>
      <c r="I20" s="389"/>
      <c r="J20" s="390"/>
      <c r="K20" s="194" t="str">
        <f t="shared" si="0"/>
        <v/>
      </c>
      <c r="L20" s="391"/>
      <c r="M20" s="391"/>
      <c r="N20" s="392"/>
      <c r="O20" s="393"/>
      <c r="P20" s="394"/>
      <c r="Q20" s="195" t="str">
        <f t="shared" si="1"/>
        <v/>
      </c>
      <c r="R20" s="395"/>
      <c r="S20" s="395"/>
      <c r="T20" s="396"/>
      <c r="U20" s="397"/>
      <c r="V20" s="398"/>
    </row>
    <row r="21" spans="1:22" ht="21.95" customHeight="1">
      <c r="A21" s="193">
        <v>3</v>
      </c>
      <c r="B21" s="386"/>
      <c r="C21" s="386"/>
      <c r="D21" s="386"/>
      <c r="E21" s="386"/>
      <c r="F21" s="387"/>
      <c r="G21" s="162"/>
      <c r="H21" s="388"/>
      <c r="I21" s="389"/>
      <c r="J21" s="390"/>
      <c r="K21" s="194" t="str">
        <f t="shared" si="0"/>
        <v/>
      </c>
      <c r="L21" s="391"/>
      <c r="M21" s="391"/>
      <c r="N21" s="392"/>
      <c r="O21" s="393"/>
      <c r="P21" s="394"/>
      <c r="Q21" s="195" t="str">
        <f t="shared" si="1"/>
        <v/>
      </c>
      <c r="R21" s="395"/>
      <c r="S21" s="395"/>
      <c r="T21" s="396"/>
      <c r="U21" s="397"/>
      <c r="V21" s="398"/>
    </row>
    <row r="22" spans="1:22" ht="21.95" customHeight="1">
      <c r="A22" s="193">
        <v>4</v>
      </c>
      <c r="B22" s="386"/>
      <c r="C22" s="386"/>
      <c r="D22" s="386"/>
      <c r="E22" s="386"/>
      <c r="F22" s="387"/>
      <c r="G22" s="162"/>
      <c r="H22" s="388"/>
      <c r="I22" s="389"/>
      <c r="J22" s="390"/>
      <c r="K22" s="194" t="str">
        <f t="shared" si="0"/>
        <v/>
      </c>
      <c r="L22" s="391"/>
      <c r="M22" s="391"/>
      <c r="N22" s="392"/>
      <c r="O22" s="393"/>
      <c r="P22" s="394"/>
      <c r="Q22" s="195" t="str">
        <f t="shared" si="1"/>
        <v/>
      </c>
      <c r="R22" s="395"/>
      <c r="S22" s="395"/>
      <c r="T22" s="396"/>
      <c r="U22" s="397"/>
      <c r="V22" s="398"/>
    </row>
    <row r="23" spans="1:22" ht="21.95" customHeight="1">
      <c r="A23" s="193">
        <v>5</v>
      </c>
      <c r="B23" s="386"/>
      <c r="C23" s="386"/>
      <c r="D23" s="386"/>
      <c r="E23" s="386"/>
      <c r="F23" s="387"/>
      <c r="G23" s="162"/>
      <c r="H23" s="388"/>
      <c r="I23" s="389"/>
      <c r="J23" s="390"/>
      <c r="K23" s="194" t="str">
        <f t="shared" si="0"/>
        <v/>
      </c>
      <c r="L23" s="391"/>
      <c r="M23" s="391"/>
      <c r="N23" s="392"/>
      <c r="O23" s="393"/>
      <c r="P23" s="394"/>
      <c r="Q23" s="195" t="str">
        <f t="shared" si="1"/>
        <v/>
      </c>
      <c r="R23" s="395"/>
      <c r="S23" s="395"/>
      <c r="T23" s="396"/>
      <c r="U23" s="397"/>
      <c r="V23" s="398"/>
    </row>
    <row r="24" spans="1:22" ht="21.95" customHeight="1">
      <c r="A24" s="193">
        <v>6</v>
      </c>
      <c r="B24" s="386"/>
      <c r="C24" s="386"/>
      <c r="D24" s="386"/>
      <c r="E24" s="386"/>
      <c r="F24" s="387"/>
      <c r="G24" s="162"/>
      <c r="H24" s="388"/>
      <c r="I24" s="389"/>
      <c r="J24" s="390"/>
      <c r="K24" s="194" t="str">
        <f t="shared" si="0"/>
        <v/>
      </c>
      <c r="L24" s="391"/>
      <c r="M24" s="391"/>
      <c r="N24" s="392"/>
      <c r="O24" s="393"/>
      <c r="P24" s="394"/>
      <c r="Q24" s="195" t="str">
        <f t="shared" si="1"/>
        <v/>
      </c>
      <c r="R24" s="395"/>
      <c r="S24" s="395"/>
      <c r="T24" s="396"/>
      <c r="U24" s="397"/>
      <c r="V24" s="398"/>
    </row>
    <row r="25" spans="1:22" ht="21.95" customHeight="1">
      <c r="A25" s="193">
        <v>7</v>
      </c>
      <c r="B25" s="386"/>
      <c r="C25" s="386"/>
      <c r="D25" s="386"/>
      <c r="E25" s="386"/>
      <c r="F25" s="387"/>
      <c r="G25" s="162"/>
      <c r="H25" s="388"/>
      <c r="I25" s="389"/>
      <c r="J25" s="390"/>
      <c r="K25" s="194" t="str">
        <f t="shared" si="0"/>
        <v/>
      </c>
      <c r="L25" s="391"/>
      <c r="M25" s="391"/>
      <c r="N25" s="392"/>
      <c r="O25" s="393"/>
      <c r="P25" s="394"/>
      <c r="Q25" s="195" t="str">
        <f t="shared" si="1"/>
        <v/>
      </c>
      <c r="R25" s="395"/>
      <c r="S25" s="395"/>
      <c r="T25" s="396"/>
      <c r="U25" s="397"/>
      <c r="V25" s="398"/>
    </row>
    <row r="26" spans="1:22" ht="21.95" customHeight="1">
      <c r="A26" s="193">
        <v>8</v>
      </c>
      <c r="B26" s="386"/>
      <c r="C26" s="386"/>
      <c r="D26" s="386"/>
      <c r="E26" s="386"/>
      <c r="F26" s="387"/>
      <c r="G26" s="162"/>
      <c r="H26" s="388"/>
      <c r="I26" s="389"/>
      <c r="J26" s="390"/>
      <c r="K26" s="194" t="str">
        <f t="shared" si="0"/>
        <v/>
      </c>
      <c r="L26" s="391"/>
      <c r="M26" s="391"/>
      <c r="N26" s="392"/>
      <c r="O26" s="393"/>
      <c r="P26" s="394"/>
      <c r="Q26" s="195" t="str">
        <f t="shared" si="1"/>
        <v/>
      </c>
      <c r="R26" s="395"/>
      <c r="S26" s="395"/>
      <c r="T26" s="396"/>
      <c r="U26" s="397"/>
      <c r="V26" s="398"/>
    </row>
    <row r="27" spans="1:22" ht="21.95" customHeight="1">
      <c r="A27" s="193">
        <v>9</v>
      </c>
      <c r="B27" s="386"/>
      <c r="C27" s="386"/>
      <c r="D27" s="386"/>
      <c r="E27" s="386"/>
      <c r="F27" s="387"/>
      <c r="G27" s="162"/>
      <c r="H27" s="388"/>
      <c r="I27" s="389"/>
      <c r="J27" s="390"/>
      <c r="K27" s="194" t="str">
        <f t="shared" si="0"/>
        <v/>
      </c>
      <c r="L27" s="391"/>
      <c r="M27" s="391"/>
      <c r="N27" s="392"/>
      <c r="O27" s="393"/>
      <c r="P27" s="394"/>
      <c r="Q27" s="195" t="str">
        <f t="shared" si="1"/>
        <v/>
      </c>
      <c r="R27" s="395"/>
      <c r="S27" s="395"/>
      <c r="T27" s="396"/>
      <c r="U27" s="397"/>
      <c r="V27" s="398"/>
    </row>
    <row r="28" spans="1:22" ht="21.95" customHeight="1" thickBot="1">
      <c r="A28" s="196">
        <v>10</v>
      </c>
      <c r="B28" s="373"/>
      <c r="C28" s="373"/>
      <c r="D28" s="373"/>
      <c r="E28" s="373"/>
      <c r="F28" s="374"/>
      <c r="G28" s="166"/>
      <c r="H28" s="375"/>
      <c r="I28" s="376"/>
      <c r="J28" s="377"/>
      <c r="K28" s="197" t="str">
        <f t="shared" si="0"/>
        <v/>
      </c>
      <c r="L28" s="378"/>
      <c r="M28" s="378"/>
      <c r="N28" s="379"/>
      <c r="O28" s="380"/>
      <c r="P28" s="381"/>
      <c r="Q28" s="198" t="str">
        <f t="shared" si="1"/>
        <v/>
      </c>
      <c r="R28" s="382"/>
      <c r="S28" s="382"/>
      <c r="T28" s="383"/>
      <c r="U28" s="384"/>
      <c r="V28" s="385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357" t="s">
        <v>281</v>
      </c>
      <c r="L30" s="358"/>
      <c r="M30" s="358"/>
      <c r="N30" s="358"/>
      <c r="O30" s="359"/>
      <c r="P30" s="175" t="s">
        <v>282</v>
      </c>
      <c r="Q30" s="360">
        <f>SUM(L19:N28)</f>
        <v>10000000</v>
      </c>
      <c r="R30" s="361"/>
      <c r="S30" s="362" t="s">
        <v>283</v>
      </c>
      <c r="T30" s="363"/>
      <c r="U30" s="364">
        <f>SUM(U19:V28)</f>
        <v>0</v>
      </c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333" t="s">
        <v>284</v>
      </c>
      <c r="L31" s="334"/>
      <c r="M31" s="334"/>
      <c r="N31" s="334"/>
      <c r="O31" s="366"/>
      <c r="P31" s="176" t="s">
        <v>282</v>
      </c>
      <c r="Q31" s="367">
        <f>Q30*0.1</f>
        <v>1000000</v>
      </c>
      <c r="R31" s="368"/>
      <c r="S31" s="369" t="s">
        <v>283</v>
      </c>
      <c r="T31" s="370"/>
      <c r="U31" s="371">
        <f>U30*1.08-U30</f>
        <v>0</v>
      </c>
      <c r="V31" s="372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343" t="s">
        <v>285</v>
      </c>
      <c r="L32" s="344"/>
      <c r="M32" s="344"/>
      <c r="N32" s="344"/>
      <c r="O32" s="345"/>
      <c r="P32" s="177" t="s">
        <v>282</v>
      </c>
      <c r="Q32" s="346">
        <f>Q30+Q31</f>
        <v>11000000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352" t="s">
        <v>286</v>
      </c>
      <c r="L33" s="353"/>
      <c r="M33" s="353"/>
      <c r="N33" s="353"/>
      <c r="O33" s="353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333" t="s">
        <v>287</v>
      </c>
      <c r="L34" s="334"/>
      <c r="M34" s="334"/>
      <c r="N34" s="334"/>
      <c r="O34" s="334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338" t="s">
        <v>288</v>
      </c>
      <c r="L35" s="339"/>
      <c r="M35" s="339"/>
      <c r="N35" s="339"/>
      <c r="O35" s="339"/>
      <c r="P35" s="340">
        <f>Q32+U32+P33</f>
        <v>11000000</v>
      </c>
      <c r="Q35" s="341"/>
      <c r="R35" s="341"/>
      <c r="S35" s="341"/>
      <c r="T35" s="341"/>
      <c r="U35" s="341"/>
      <c r="V35" s="342"/>
    </row>
    <row r="36" spans="2:22" ht="13.5" customHeight="1"/>
  </sheetData>
  <sheetProtection algorithmName="SHA-512" hashValue="oFWKqJpz91Pe2ryeiBPuj54bHKVgo+c4qpU7Nyfk0z03d+D/wYVSte0ovfaIkq1uD/piuUEH2LSrAZK6tn4Dbg==" saltValue="ooGqYITCURsFQl+GJw4mwA==" spinCount="100000" sheet="1" formatCells="0" formatColumns="0" formatRows="0" insertColumns="0" selectLockedCells="1"/>
  <mergeCells count="113"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P14:Q14"/>
    <mergeCell ref="S14:V14"/>
    <mergeCell ref="D15:E15"/>
    <mergeCell ref="O15:O16"/>
    <mergeCell ref="Q15:V15"/>
    <mergeCell ref="D16:E16"/>
    <mergeCell ref="J16:K16"/>
    <mergeCell ref="L16:N16"/>
    <mergeCell ref="Q16:V16"/>
    <mergeCell ref="C12:D13"/>
    <mergeCell ref="E12:J13"/>
    <mergeCell ref="P13:Q13"/>
    <mergeCell ref="S13:V13"/>
    <mergeCell ref="C5:G5"/>
    <mergeCell ref="O5:O6"/>
    <mergeCell ref="P5:V6"/>
    <mergeCell ref="C6:H6"/>
    <mergeCell ref="O7:O8"/>
    <mergeCell ref="P7:V8"/>
    <mergeCell ref="C8:H8"/>
    <mergeCell ref="B1:V1"/>
    <mergeCell ref="P2:Q2"/>
    <mergeCell ref="R2:V2"/>
    <mergeCell ref="P3:Q3"/>
    <mergeCell ref="R3:S3"/>
    <mergeCell ref="T3:V3"/>
    <mergeCell ref="P9:V9"/>
    <mergeCell ref="C10:H10"/>
    <mergeCell ref="P10:V10"/>
  </mergeCells>
  <phoneticPr fontId="2"/>
  <dataValidations count="1">
    <dataValidation type="list" allowBlank="1" showInputMessage="1" showErrorMessage="1" sqref="G19:G28" xr:uid="{B8C7AF71-A5F9-46AD-8D7D-33D5E385B8EB}">
      <formula1>"請負,常用"</formula1>
    </dataValidation>
  </dataValidations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0E60-EA3F-4C0A-8937-F65F3C09B8D1}">
  <sheetPr>
    <tabColor rgb="FF92D050"/>
  </sheetPr>
  <dimension ref="A1:Y36"/>
  <sheetViews>
    <sheetView showZeros="0" view="pageBreakPreview" zoomScale="85" zoomScaleNormal="85" zoomScaleSheetLayoutView="85" workbookViewId="0">
      <selection activeCell="L13" sqref="L13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80" t="s">
        <v>238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81" t="s">
        <v>239</v>
      </c>
      <c r="Q2" s="482"/>
      <c r="R2" s="483">
        <v>45838</v>
      </c>
      <c r="S2" s="484"/>
      <c r="T2" s="484"/>
      <c r="U2" s="484"/>
      <c r="V2" s="485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86" t="s">
        <v>240</v>
      </c>
      <c r="Q3" s="487"/>
      <c r="R3" s="488" t="s">
        <v>241</v>
      </c>
      <c r="S3" s="489"/>
      <c r="T3" s="489"/>
      <c r="U3" s="489"/>
      <c r="V3" s="490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91" t="s">
        <v>242</v>
      </c>
      <c r="D5" s="491"/>
      <c r="E5" s="491"/>
      <c r="F5" s="491"/>
      <c r="G5" s="491"/>
      <c r="O5" s="478" t="s">
        <v>243</v>
      </c>
      <c r="P5" s="461" t="s">
        <v>244</v>
      </c>
      <c r="Q5" s="461"/>
      <c r="R5" s="461"/>
      <c r="S5" s="461"/>
      <c r="T5" s="461"/>
      <c r="U5" s="461"/>
      <c r="V5" s="461"/>
    </row>
    <row r="6" spans="2:25" ht="18" customHeight="1">
      <c r="C6" s="492" t="s">
        <v>245</v>
      </c>
      <c r="D6" s="492"/>
      <c r="E6" s="492"/>
      <c r="F6" s="492"/>
      <c r="G6" s="492"/>
      <c r="H6" s="492"/>
      <c r="I6" s="142"/>
      <c r="J6" s="142"/>
      <c r="O6" s="478"/>
      <c r="P6" s="461"/>
      <c r="Q6" s="461"/>
      <c r="R6" s="461"/>
      <c r="S6" s="461"/>
      <c r="T6" s="461"/>
      <c r="U6" s="461"/>
      <c r="V6" s="461"/>
    </row>
    <row r="7" spans="2:25" ht="16.5" customHeight="1">
      <c r="F7" s="142"/>
      <c r="G7" s="142"/>
      <c r="H7" s="142"/>
      <c r="I7" s="142"/>
      <c r="J7" s="142"/>
      <c r="K7" s="143"/>
      <c r="L7" s="143"/>
      <c r="M7" s="144"/>
      <c r="N7" s="144"/>
      <c r="O7" s="478" t="s">
        <v>246</v>
      </c>
      <c r="P7" s="463" t="s">
        <v>247</v>
      </c>
      <c r="Q7" s="463"/>
      <c r="R7" s="463"/>
      <c r="S7" s="463"/>
      <c r="T7" s="463"/>
      <c r="U7" s="463"/>
      <c r="V7" s="463"/>
    </row>
    <row r="8" spans="2:25" ht="18" customHeight="1">
      <c r="C8" s="479" t="s">
        <v>248</v>
      </c>
      <c r="D8" s="479"/>
      <c r="E8" s="479"/>
      <c r="F8" s="479"/>
      <c r="G8" s="479"/>
      <c r="H8" s="479"/>
      <c r="L8" s="145"/>
      <c r="M8" s="145"/>
      <c r="N8" s="145"/>
      <c r="O8" s="478"/>
      <c r="P8" s="463"/>
      <c r="Q8" s="463"/>
      <c r="R8" s="463"/>
      <c r="S8" s="463"/>
      <c r="T8" s="463"/>
      <c r="U8" s="463"/>
      <c r="V8" s="463"/>
    </row>
    <row r="9" spans="2:25" ht="18" customHeight="1">
      <c r="O9" s="141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78" t="s">
        <v>251</v>
      </c>
      <c r="D10" s="478"/>
      <c r="E10" s="478"/>
      <c r="F10" s="478"/>
      <c r="G10" s="478"/>
      <c r="H10" s="478"/>
      <c r="L10" s="145"/>
      <c r="M10" s="145"/>
      <c r="N10" s="145"/>
      <c r="O10" s="141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/>
    <row r="12" spans="2:25" ht="15" customHeight="1" thickBot="1">
      <c r="C12" s="496" t="s">
        <v>254</v>
      </c>
      <c r="D12" s="497"/>
      <c r="E12" s="449">
        <f>P35</f>
        <v>11000000</v>
      </c>
      <c r="F12" s="450"/>
      <c r="G12" s="450"/>
      <c r="H12" s="450"/>
      <c r="I12" s="450"/>
      <c r="J12" s="451"/>
      <c r="N12" s="145"/>
      <c r="O12" s="137" t="s">
        <v>255</v>
      </c>
    </row>
    <row r="13" spans="2:25" ht="24" customHeight="1" thickBot="1">
      <c r="C13" s="498"/>
      <c r="D13" s="499"/>
      <c r="E13" s="452"/>
      <c r="F13" s="453"/>
      <c r="G13" s="453"/>
      <c r="H13" s="453"/>
      <c r="I13" s="453"/>
      <c r="J13" s="454"/>
      <c r="N13" s="145"/>
      <c r="O13" s="146" t="s">
        <v>256</v>
      </c>
      <c r="P13" s="455" t="s">
        <v>257</v>
      </c>
      <c r="Q13" s="455"/>
      <c r="R13" s="147" t="s">
        <v>258</v>
      </c>
      <c r="S13" s="456" t="s">
        <v>259</v>
      </c>
      <c r="T13" s="457"/>
      <c r="U13" s="457"/>
      <c r="V13" s="458"/>
    </row>
    <row r="14" spans="2:25" ht="24" customHeight="1">
      <c r="O14" s="148" t="s">
        <v>260</v>
      </c>
      <c r="P14" s="430" t="s">
        <v>261</v>
      </c>
      <c r="Q14" s="430"/>
      <c r="R14" s="149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93"/>
      <c r="E15" s="493"/>
      <c r="F15" s="151"/>
      <c r="O15" s="494" t="s">
        <v>263</v>
      </c>
      <c r="P15" s="152" t="s">
        <v>264</v>
      </c>
      <c r="Q15" s="437" t="s">
        <v>265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93"/>
      <c r="E16" s="493"/>
      <c r="F16" s="151"/>
      <c r="J16" s="441" t="s">
        <v>266</v>
      </c>
      <c r="K16" s="441"/>
      <c r="L16" s="441" t="s">
        <v>267</v>
      </c>
      <c r="M16" s="441"/>
      <c r="N16" s="441"/>
      <c r="O16" s="495"/>
      <c r="P16" s="153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511" t="s">
        <v>270</v>
      </c>
      <c r="B18" s="512"/>
      <c r="C18" s="512"/>
      <c r="D18" s="512"/>
      <c r="E18" s="512"/>
      <c r="F18" s="513"/>
      <c r="G18" s="154" t="s">
        <v>271</v>
      </c>
      <c r="H18" s="514" t="s">
        <v>272</v>
      </c>
      <c r="I18" s="515"/>
      <c r="J18" s="516"/>
      <c r="K18" s="155" t="s">
        <v>273</v>
      </c>
      <c r="L18" s="517" t="s">
        <v>274</v>
      </c>
      <c r="M18" s="518"/>
      <c r="N18" s="519"/>
      <c r="O18" s="520" t="s">
        <v>275</v>
      </c>
      <c r="P18" s="521"/>
      <c r="Q18" s="156" t="s">
        <v>276</v>
      </c>
      <c r="R18" s="522" t="s">
        <v>277</v>
      </c>
      <c r="S18" s="523"/>
      <c r="T18" s="524"/>
      <c r="U18" s="525" t="s">
        <v>278</v>
      </c>
      <c r="V18" s="526"/>
    </row>
    <row r="19" spans="1:22" ht="21.95" customHeight="1">
      <c r="A19" s="157">
        <v>1</v>
      </c>
      <c r="B19" s="400" t="s">
        <v>279</v>
      </c>
      <c r="C19" s="401"/>
      <c r="D19" s="401"/>
      <c r="E19" s="401"/>
      <c r="F19" s="402"/>
      <c r="G19" s="158" t="s">
        <v>280</v>
      </c>
      <c r="H19" s="500">
        <v>130730000</v>
      </c>
      <c r="I19" s="501"/>
      <c r="J19" s="502"/>
      <c r="K19" s="159">
        <f>L19/H19</f>
        <v>7.6493536296182968E-2</v>
      </c>
      <c r="L19" s="503">
        <v>10000000</v>
      </c>
      <c r="M19" s="503"/>
      <c r="N19" s="504"/>
      <c r="O19" s="505"/>
      <c r="P19" s="506"/>
      <c r="Q19" s="160">
        <f>R19/H19</f>
        <v>0.2677273770366404</v>
      </c>
      <c r="R19" s="507">
        <v>35000000</v>
      </c>
      <c r="S19" s="507"/>
      <c r="T19" s="508"/>
      <c r="U19" s="509"/>
      <c r="V19" s="510"/>
    </row>
    <row r="20" spans="1:22" ht="21.95" customHeight="1">
      <c r="A20" s="161">
        <v>2</v>
      </c>
      <c r="B20" s="399"/>
      <c r="C20" s="386"/>
      <c r="D20" s="386"/>
      <c r="E20" s="386"/>
      <c r="F20" s="387"/>
      <c r="G20" s="162"/>
      <c r="H20" s="527"/>
      <c r="I20" s="528"/>
      <c r="J20" s="529"/>
      <c r="K20" s="163"/>
      <c r="L20" s="530"/>
      <c r="M20" s="530"/>
      <c r="N20" s="531"/>
      <c r="O20" s="532"/>
      <c r="P20" s="533"/>
      <c r="Q20" s="164"/>
      <c r="R20" s="534"/>
      <c r="S20" s="534"/>
      <c r="T20" s="535"/>
      <c r="U20" s="536"/>
      <c r="V20" s="537"/>
    </row>
    <row r="21" spans="1:22" ht="21.95" customHeight="1">
      <c r="A21" s="161">
        <v>3</v>
      </c>
      <c r="B21" s="386"/>
      <c r="C21" s="386"/>
      <c r="D21" s="386"/>
      <c r="E21" s="386"/>
      <c r="F21" s="387"/>
      <c r="G21" s="162"/>
      <c r="H21" s="527"/>
      <c r="I21" s="528"/>
      <c r="J21" s="529"/>
      <c r="K21" s="163"/>
      <c r="L21" s="530"/>
      <c r="M21" s="530"/>
      <c r="N21" s="531"/>
      <c r="O21" s="532"/>
      <c r="P21" s="533"/>
      <c r="Q21" s="164"/>
      <c r="R21" s="534"/>
      <c r="S21" s="534"/>
      <c r="T21" s="535"/>
      <c r="U21" s="536"/>
      <c r="V21" s="537"/>
    </row>
    <row r="22" spans="1:22" ht="21.95" customHeight="1">
      <c r="A22" s="161">
        <v>4</v>
      </c>
      <c r="B22" s="386"/>
      <c r="C22" s="386"/>
      <c r="D22" s="386"/>
      <c r="E22" s="386"/>
      <c r="F22" s="387"/>
      <c r="G22" s="162"/>
      <c r="H22" s="527"/>
      <c r="I22" s="528"/>
      <c r="J22" s="529"/>
      <c r="K22" s="163"/>
      <c r="L22" s="530"/>
      <c r="M22" s="530"/>
      <c r="N22" s="531"/>
      <c r="O22" s="532"/>
      <c r="P22" s="533"/>
      <c r="Q22" s="164"/>
      <c r="R22" s="534"/>
      <c r="S22" s="534"/>
      <c r="T22" s="535"/>
      <c r="U22" s="536"/>
      <c r="V22" s="537"/>
    </row>
    <row r="23" spans="1:22" ht="21.95" customHeight="1">
      <c r="A23" s="161">
        <v>5</v>
      </c>
      <c r="B23" s="386"/>
      <c r="C23" s="386"/>
      <c r="D23" s="386"/>
      <c r="E23" s="386"/>
      <c r="F23" s="387"/>
      <c r="G23" s="162"/>
      <c r="H23" s="527"/>
      <c r="I23" s="528"/>
      <c r="J23" s="529"/>
      <c r="K23" s="163"/>
      <c r="L23" s="530"/>
      <c r="M23" s="530"/>
      <c r="N23" s="531"/>
      <c r="O23" s="532"/>
      <c r="P23" s="533"/>
      <c r="Q23" s="164"/>
      <c r="R23" s="534"/>
      <c r="S23" s="534"/>
      <c r="T23" s="535"/>
      <c r="U23" s="536"/>
      <c r="V23" s="537"/>
    </row>
    <row r="24" spans="1:22" ht="21.95" customHeight="1">
      <c r="A24" s="161">
        <v>6</v>
      </c>
      <c r="B24" s="386"/>
      <c r="C24" s="386"/>
      <c r="D24" s="386"/>
      <c r="E24" s="386"/>
      <c r="F24" s="387"/>
      <c r="G24" s="162"/>
      <c r="H24" s="527"/>
      <c r="I24" s="528"/>
      <c r="J24" s="529"/>
      <c r="K24" s="163"/>
      <c r="L24" s="530"/>
      <c r="M24" s="530"/>
      <c r="N24" s="531"/>
      <c r="O24" s="532"/>
      <c r="P24" s="533"/>
      <c r="Q24" s="164"/>
      <c r="R24" s="534"/>
      <c r="S24" s="534"/>
      <c r="T24" s="535"/>
      <c r="U24" s="536"/>
      <c r="V24" s="537"/>
    </row>
    <row r="25" spans="1:22" ht="21.95" customHeight="1">
      <c r="A25" s="161">
        <v>7</v>
      </c>
      <c r="B25" s="386"/>
      <c r="C25" s="386"/>
      <c r="D25" s="386"/>
      <c r="E25" s="386"/>
      <c r="F25" s="387"/>
      <c r="G25" s="162"/>
      <c r="H25" s="527"/>
      <c r="I25" s="528"/>
      <c r="J25" s="529"/>
      <c r="K25" s="163"/>
      <c r="L25" s="530"/>
      <c r="M25" s="530"/>
      <c r="N25" s="531"/>
      <c r="O25" s="532"/>
      <c r="P25" s="533"/>
      <c r="Q25" s="164"/>
      <c r="R25" s="534"/>
      <c r="S25" s="534"/>
      <c r="T25" s="535"/>
      <c r="U25" s="536"/>
      <c r="V25" s="537"/>
    </row>
    <row r="26" spans="1:22" ht="21.95" customHeight="1">
      <c r="A26" s="161">
        <v>8</v>
      </c>
      <c r="B26" s="386"/>
      <c r="C26" s="386"/>
      <c r="D26" s="386"/>
      <c r="E26" s="386"/>
      <c r="F26" s="387"/>
      <c r="G26" s="162"/>
      <c r="H26" s="527"/>
      <c r="I26" s="528"/>
      <c r="J26" s="529"/>
      <c r="K26" s="163"/>
      <c r="L26" s="530"/>
      <c r="M26" s="530"/>
      <c r="N26" s="531"/>
      <c r="O26" s="532"/>
      <c r="P26" s="533"/>
      <c r="Q26" s="164"/>
      <c r="R26" s="534"/>
      <c r="S26" s="534"/>
      <c r="T26" s="535"/>
      <c r="U26" s="536"/>
      <c r="V26" s="537"/>
    </row>
    <row r="27" spans="1:22" ht="21.95" customHeight="1">
      <c r="A27" s="161">
        <v>9</v>
      </c>
      <c r="B27" s="386"/>
      <c r="C27" s="386"/>
      <c r="D27" s="386"/>
      <c r="E27" s="386"/>
      <c r="F27" s="387"/>
      <c r="G27" s="162"/>
      <c r="H27" s="527"/>
      <c r="I27" s="528"/>
      <c r="J27" s="529"/>
      <c r="K27" s="163"/>
      <c r="L27" s="530"/>
      <c r="M27" s="530"/>
      <c r="N27" s="531"/>
      <c r="O27" s="532"/>
      <c r="P27" s="533"/>
      <c r="Q27" s="164"/>
      <c r="R27" s="534"/>
      <c r="S27" s="534"/>
      <c r="T27" s="535"/>
      <c r="U27" s="536"/>
      <c r="V27" s="537"/>
    </row>
    <row r="28" spans="1:22" ht="21.95" customHeight="1" thickBot="1">
      <c r="A28" s="165">
        <v>10</v>
      </c>
      <c r="B28" s="373"/>
      <c r="C28" s="373"/>
      <c r="D28" s="373"/>
      <c r="E28" s="373"/>
      <c r="F28" s="374"/>
      <c r="G28" s="166"/>
      <c r="H28" s="548"/>
      <c r="I28" s="549"/>
      <c r="J28" s="550"/>
      <c r="K28" s="167"/>
      <c r="L28" s="551"/>
      <c r="M28" s="551"/>
      <c r="N28" s="552"/>
      <c r="O28" s="553"/>
      <c r="P28" s="554"/>
      <c r="Q28" s="168"/>
      <c r="R28" s="555"/>
      <c r="S28" s="555"/>
      <c r="T28" s="556"/>
      <c r="U28" s="557"/>
      <c r="V28" s="558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538" t="s">
        <v>281</v>
      </c>
      <c r="L30" s="539"/>
      <c r="M30" s="539"/>
      <c r="N30" s="539"/>
      <c r="O30" s="540"/>
      <c r="P30" s="175" t="s">
        <v>282</v>
      </c>
      <c r="Q30" s="360">
        <v>10000000</v>
      </c>
      <c r="R30" s="361"/>
      <c r="S30" s="362" t="s">
        <v>283</v>
      </c>
      <c r="T30" s="363"/>
      <c r="U30" s="364"/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541" t="s">
        <v>284</v>
      </c>
      <c r="L31" s="542"/>
      <c r="M31" s="542"/>
      <c r="N31" s="542"/>
      <c r="O31" s="543"/>
      <c r="P31" s="176" t="s">
        <v>282</v>
      </c>
      <c r="Q31" s="544">
        <f>Q30*1.1-Q30</f>
        <v>1000000</v>
      </c>
      <c r="R31" s="545"/>
      <c r="S31" s="369" t="s">
        <v>283</v>
      </c>
      <c r="T31" s="370"/>
      <c r="U31" s="546">
        <f>U30*1.08-U30</f>
        <v>0</v>
      </c>
      <c r="V31" s="547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564" t="s">
        <v>285</v>
      </c>
      <c r="L32" s="565"/>
      <c r="M32" s="565"/>
      <c r="N32" s="565"/>
      <c r="O32" s="566"/>
      <c r="P32" s="177" t="s">
        <v>282</v>
      </c>
      <c r="Q32" s="346">
        <f>Q30+Q31</f>
        <v>11000000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567" t="s">
        <v>286</v>
      </c>
      <c r="L33" s="568"/>
      <c r="M33" s="568"/>
      <c r="N33" s="568"/>
      <c r="O33" s="568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541" t="s">
        <v>287</v>
      </c>
      <c r="L34" s="542"/>
      <c r="M34" s="542"/>
      <c r="N34" s="542"/>
      <c r="O34" s="542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559" t="s">
        <v>288</v>
      </c>
      <c r="L35" s="560"/>
      <c r="M35" s="560"/>
      <c r="N35" s="560"/>
      <c r="O35" s="560"/>
      <c r="P35" s="561">
        <f>Q32+U32+P33</f>
        <v>11000000</v>
      </c>
      <c r="Q35" s="562"/>
      <c r="R35" s="562"/>
      <c r="S35" s="562"/>
      <c r="T35" s="562"/>
      <c r="U35" s="562"/>
      <c r="V35" s="563"/>
    </row>
    <row r="36" spans="2:22" ht="13.5" customHeight="1"/>
  </sheetData>
  <sheetProtection selectLockedCells="1"/>
  <mergeCells count="112"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D15:E15"/>
    <mergeCell ref="O15:O16"/>
    <mergeCell ref="Q15:V15"/>
    <mergeCell ref="D16:E16"/>
    <mergeCell ref="J16:K16"/>
    <mergeCell ref="L16:N16"/>
    <mergeCell ref="Q16:V16"/>
    <mergeCell ref="C12:D13"/>
    <mergeCell ref="E12:J13"/>
    <mergeCell ref="P13:Q13"/>
    <mergeCell ref="S13:V13"/>
    <mergeCell ref="P14:Q14"/>
    <mergeCell ref="S14:V14"/>
    <mergeCell ref="O7:O8"/>
    <mergeCell ref="P7:V8"/>
    <mergeCell ref="C8:H8"/>
    <mergeCell ref="P9:V9"/>
    <mergeCell ref="C10:H10"/>
    <mergeCell ref="P10:V10"/>
    <mergeCell ref="B1:V1"/>
    <mergeCell ref="P2:Q2"/>
    <mergeCell ref="R2:V2"/>
    <mergeCell ref="P3:Q3"/>
    <mergeCell ref="R3:V3"/>
    <mergeCell ref="C5:G5"/>
    <mergeCell ref="O5:O6"/>
    <mergeCell ref="P5:V6"/>
    <mergeCell ref="C6:H6"/>
  </mergeCells>
  <phoneticPr fontId="2"/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1BE3-AD64-4E31-8789-A3B84DF6E93E}">
  <sheetPr>
    <tabColor rgb="FF92D050"/>
  </sheetPr>
  <dimension ref="A1:Y36"/>
  <sheetViews>
    <sheetView showZeros="0" view="pageBreakPreview" zoomScale="85" zoomScaleNormal="85" zoomScaleSheetLayoutView="85" workbookViewId="0">
      <selection activeCell="Q20" sqref="Q20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80" t="s">
        <v>238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81" t="s">
        <v>239</v>
      </c>
      <c r="Q2" s="482"/>
      <c r="R2" s="483">
        <v>45808</v>
      </c>
      <c r="S2" s="484"/>
      <c r="T2" s="484"/>
      <c r="U2" s="484"/>
      <c r="V2" s="485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86" t="s">
        <v>240</v>
      </c>
      <c r="Q3" s="487"/>
      <c r="R3" s="488" t="s">
        <v>241</v>
      </c>
      <c r="S3" s="489"/>
      <c r="T3" s="489"/>
      <c r="U3" s="489"/>
      <c r="V3" s="490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91" t="s">
        <v>242</v>
      </c>
      <c r="D5" s="491"/>
      <c r="E5" s="491"/>
      <c r="F5" s="491"/>
      <c r="G5" s="491"/>
      <c r="O5" s="478" t="s">
        <v>243</v>
      </c>
      <c r="P5" s="461" t="s">
        <v>244</v>
      </c>
      <c r="Q5" s="461"/>
      <c r="R5" s="461"/>
      <c r="S5" s="461"/>
      <c r="T5" s="461"/>
      <c r="U5" s="461"/>
      <c r="V5" s="461"/>
    </row>
    <row r="6" spans="2:25" ht="18" customHeight="1">
      <c r="C6" s="492" t="s">
        <v>245</v>
      </c>
      <c r="D6" s="492"/>
      <c r="E6" s="492"/>
      <c r="F6" s="492"/>
      <c r="G6" s="492"/>
      <c r="H6" s="492"/>
      <c r="I6" s="142"/>
      <c r="J6" s="142"/>
      <c r="O6" s="478"/>
      <c r="P6" s="461"/>
      <c r="Q6" s="461"/>
      <c r="R6" s="461"/>
      <c r="S6" s="461"/>
      <c r="T6" s="461"/>
      <c r="U6" s="461"/>
      <c r="V6" s="461"/>
    </row>
    <row r="7" spans="2:25" ht="16.5" customHeight="1">
      <c r="F7" s="142"/>
      <c r="G7" s="142"/>
      <c r="H7" s="142"/>
      <c r="I7" s="142"/>
      <c r="J7" s="142"/>
      <c r="K7" s="143"/>
      <c r="L7" s="143"/>
      <c r="M7" s="144"/>
      <c r="N7" s="144"/>
      <c r="O7" s="478" t="s">
        <v>246</v>
      </c>
      <c r="P7" s="463" t="s">
        <v>247</v>
      </c>
      <c r="Q7" s="463"/>
      <c r="R7" s="463"/>
      <c r="S7" s="463"/>
      <c r="T7" s="463"/>
      <c r="U7" s="463"/>
      <c r="V7" s="463"/>
    </row>
    <row r="8" spans="2:25" ht="18" customHeight="1">
      <c r="C8" s="479" t="s">
        <v>248</v>
      </c>
      <c r="D8" s="479"/>
      <c r="E8" s="479"/>
      <c r="F8" s="479"/>
      <c r="G8" s="479"/>
      <c r="H8" s="479"/>
      <c r="L8" s="145"/>
      <c r="M8" s="145"/>
      <c r="N8" s="145"/>
      <c r="O8" s="478"/>
      <c r="P8" s="463"/>
      <c r="Q8" s="463"/>
      <c r="R8" s="463"/>
      <c r="S8" s="463"/>
      <c r="T8" s="463"/>
      <c r="U8" s="463"/>
      <c r="V8" s="463"/>
    </row>
    <row r="9" spans="2:25" ht="18" customHeight="1">
      <c r="O9" s="141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78" t="s">
        <v>251</v>
      </c>
      <c r="D10" s="478"/>
      <c r="E10" s="478"/>
      <c r="F10" s="478"/>
      <c r="G10" s="478"/>
      <c r="H10" s="478"/>
      <c r="L10" s="145"/>
      <c r="M10" s="145"/>
      <c r="N10" s="145"/>
      <c r="O10" s="141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/>
    <row r="12" spans="2:25" ht="15" customHeight="1" thickBot="1">
      <c r="C12" s="496" t="s">
        <v>254</v>
      </c>
      <c r="D12" s="497"/>
      <c r="E12" s="449">
        <f>P35</f>
        <v>18700000</v>
      </c>
      <c r="F12" s="450"/>
      <c r="G12" s="450"/>
      <c r="H12" s="450"/>
      <c r="I12" s="450"/>
      <c r="J12" s="451"/>
      <c r="N12" s="145"/>
      <c r="O12" s="137" t="s">
        <v>255</v>
      </c>
    </row>
    <row r="13" spans="2:25" ht="24" customHeight="1" thickBot="1">
      <c r="C13" s="498"/>
      <c r="D13" s="499"/>
      <c r="E13" s="452"/>
      <c r="F13" s="453"/>
      <c r="G13" s="453"/>
      <c r="H13" s="453"/>
      <c r="I13" s="453"/>
      <c r="J13" s="454"/>
      <c r="N13" s="145"/>
      <c r="O13" s="146" t="s">
        <v>256</v>
      </c>
      <c r="P13" s="455" t="s">
        <v>257</v>
      </c>
      <c r="Q13" s="455"/>
      <c r="R13" s="147" t="s">
        <v>258</v>
      </c>
      <c r="S13" s="456" t="s">
        <v>259</v>
      </c>
      <c r="T13" s="457"/>
      <c r="U13" s="457"/>
      <c r="V13" s="458"/>
    </row>
    <row r="14" spans="2:25" ht="24" customHeight="1">
      <c r="O14" s="148" t="s">
        <v>260</v>
      </c>
      <c r="P14" s="430" t="s">
        <v>261</v>
      </c>
      <c r="Q14" s="430"/>
      <c r="R14" s="149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93"/>
      <c r="E15" s="493"/>
      <c r="F15" s="151"/>
      <c r="O15" s="494" t="s">
        <v>263</v>
      </c>
      <c r="P15" s="152" t="s">
        <v>264</v>
      </c>
      <c r="Q15" s="437" t="s">
        <v>289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93"/>
      <c r="E16" s="493"/>
      <c r="F16" s="151"/>
      <c r="J16" s="441" t="s">
        <v>266</v>
      </c>
      <c r="K16" s="441"/>
      <c r="L16" s="441" t="s">
        <v>267</v>
      </c>
      <c r="M16" s="441"/>
      <c r="N16" s="441"/>
      <c r="O16" s="495"/>
      <c r="P16" s="153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511" t="s">
        <v>270</v>
      </c>
      <c r="B18" s="512"/>
      <c r="C18" s="512"/>
      <c r="D18" s="512"/>
      <c r="E18" s="512"/>
      <c r="F18" s="513"/>
      <c r="G18" s="154" t="s">
        <v>271</v>
      </c>
      <c r="H18" s="514" t="s">
        <v>272</v>
      </c>
      <c r="I18" s="515"/>
      <c r="J18" s="516"/>
      <c r="K18" s="155" t="s">
        <v>273</v>
      </c>
      <c r="L18" s="517" t="s">
        <v>274</v>
      </c>
      <c r="M18" s="518"/>
      <c r="N18" s="519"/>
      <c r="O18" s="520" t="s">
        <v>275</v>
      </c>
      <c r="P18" s="521"/>
      <c r="Q18" s="156" t="s">
        <v>276</v>
      </c>
      <c r="R18" s="522" t="s">
        <v>277</v>
      </c>
      <c r="S18" s="523"/>
      <c r="T18" s="524"/>
      <c r="U18" s="525" t="s">
        <v>278</v>
      </c>
      <c r="V18" s="526"/>
    </row>
    <row r="19" spans="1:22" ht="21.95" customHeight="1">
      <c r="A19" s="157">
        <v>1</v>
      </c>
      <c r="B19" s="400" t="s">
        <v>279</v>
      </c>
      <c r="C19" s="401"/>
      <c r="D19" s="401"/>
      <c r="E19" s="401"/>
      <c r="F19" s="402"/>
      <c r="G19" s="158" t="s">
        <v>280</v>
      </c>
      <c r="H19" s="500">
        <v>130730000</v>
      </c>
      <c r="I19" s="501"/>
      <c r="J19" s="502"/>
      <c r="K19" s="159">
        <f>L19/H19</f>
        <v>0.13003901170351106</v>
      </c>
      <c r="L19" s="503">
        <v>17000000</v>
      </c>
      <c r="M19" s="503"/>
      <c r="N19" s="504"/>
      <c r="O19" s="505"/>
      <c r="P19" s="506"/>
      <c r="Q19" s="160">
        <f>R19/H19</f>
        <v>0.19123384074045743</v>
      </c>
      <c r="R19" s="507">
        <v>25000000</v>
      </c>
      <c r="S19" s="507"/>
      <c r="T19" s="508"/>
      <c r="U19" s="509"/>
      <c r="V19" s="510"/>
    </row>
    <row r="20" spans="1:22" ht="21.95" customHeight="1">
      <c r="A20" s="161">
        <v>2</v>
      </c>
      <c r="B20" s="399"/>
      <c r="C20" s="386"/>
      <c r="D20" s="386"/>
      <c r="E20" s="386"/>
      <c r="F20" s="387"/>
      <c r="G20" s="162"/>
      <c r="H20" s="527"/>
      <c r="I20" s="528"/>
      <c r="J20" s="529"/>
      <c r="K20" s="163"/>
      <c r="L20" s="530"/>
      <c r="M20" s="530"/>
      <c r="N20" s="531"/>
      <c r="O20" s="532"/>
      <c r="P20" s="533"/>
      <c r="Q20" s="164"/>
      <c r="R20" s="534"/>
      <c r="S20" s="534"/>
      <c r="T20" s="535"/>
      <c r="U20" s="536"/>
      <c r="V20" s="537"/>
    </row>
    <row r="21" spans="1:22" ht="21.95" customHeight="1">
      <c r="A21" s="161">
        <v>3</v>
      </c>
      <c r="B21" s="386"/>
      <c r="C21" s="386"/>
      <c r="D21" s="386"/>
      <c r="E21" s="386"/>
      <c r="F21" s="387"/>
      <c r="G21" s="162"/>
      <c r="H21" s="527"/>
      <c r="I21" s="528"/>
      <c r="J21" s="529"/>
      <c r="K21" s="163"/>
      <c r="L21" s="530"/>
      <c r="M21" s="530"/>
      <c r="N21" s="531"/>
      <c r="O21" s="532"/>
      <c r="P21" s="533"/>
      <c r="Q21" s="164"/>
      <c r="R21" s="534"/>
      <c r="S21" s="534"/>
      <c r="T21" s="535"/>
      <c r="U21" s="536"/>
      <c r="V21" s="537"/>
    </row>
    <row r="22" spans="1:22" ht="21.95" customHeight="1">
      <c r="A22" s="161">
        <v>4</v>
      </c>
      <c r="B22" s="386"/>
      <c r="C22" s="386"/>
      <c r="D22" s="386"/>
      <c r="E22" s="386"/>
      <c r="F22" s="387"/>
      <c r="G22" s="162"/>
      <c r="H22" s="527"/>
      <c r="I22" s="528"/>
      <c r="J22" s="529"/>
      <c r="K22" s="163"/>
      <c r="L22" s="530"/>
      <c r="M22" s="530"/>
      <c r="N22" s="531"/>
      <c r="O22" s="532"/>
      <c r="P22" s="533"/>
      <c r="Q22" s="164"/>
      <c r="R22" s="534"/>
      <c r="S22" s="534"/>
      <c r="T22" s="535"/>
      <c r="U22" s="536"/>
      <c r="V22" s="537"/>
    </row>
    <row r="23" spans="1:22" ht="21.95" customHeight="1">
      <c r="A23" s="161">
        <v>5</v>
      </c>
      <c r="B23" s="386"/>
      <c r="C23" s="386"/>
      <c r="D23" s="386"/>
      <c r="E23" s="386"/>
      <c r="F23" s="387"/>
      <c r="G23" s="162"/>
      <c r="H23" s="527"/>
      <c r="I23" s="528"/>
      <c r="J23" s="529"/>
      <c r="K23" s="163"/>
      <c r="L23" s="530"/>
      <c r="M23" s="530"/>
      <c r="N23" s="531"/>
      <c r="O23" s="532"/>
      <c r="P23" s="533"/>
      <c r="Q23" s="164"/>
      <c r="R23" s="534"/>
      <c r="S23" s="534"/>
      <c r="T23" s="535"/>
      <c r="U23" s="536"/>
      <c r="V23" s="537"/>
    </row>
    <row r="24" spans="1:22" ht="21.95" customHeight="1">
      <c r="A24" s="161">
        <v>6</v>
      </c>
      <c r="B24" s="386"/>
      <c r="C24" s="386"/>
      <c r="D24" s="386"/>
      <c r="E24" s="386"/>
      <c r="F24" s="387"/>
      <c r="G24" s="162"/>
      <c r="H24" s="527"/>
      <c r="I24" s="528"/>
      <c r="J24" s="529"/>
      <c r="K24" s="163"/>
      <c r="L24" s="530"/>
      <c r="M24" s="530"/>
      <c r="N24" s="531"/>
      <c r="O24" s="532"/>
      <c r="P24" s="533"/>
      <c r="Q24" s="164"/>
      <c r="R24" s="534"/>
      <c r="S24" s="534"/>
      <c r="T24" s="535"/>
      <c r="U24" s="536"/>
      <c r="V24" s="537"/>
    </row>
    <row r="25" spans="1:22" ht="21.95" customHeight="1">
      <c r="A25" s="161">
        <v>7</v>
      </c>
      <c r="B25" s="386"/>
      <c r="C25" s="386"/>
      <c r="D25" s="386"/>
      <c r="E25" s="386"/>
      <c r="F25" s="387"/>
      <c r="G25" s="162"/>
      <c r="H25" s="527"/>
      <c r="I25" s="528"/>
      <c r="J25" s="529"/>
      <c r="K25" s="163"/>
      <c r="L25" s="530"/>
      <c r="M25" s="530"/>
      <c r="N25" s="531"/>
      <c r="O25" s="532"/>
      <c r="P25" s="533"/>
      <c r="Q25" s="164"/>
      <c r="R25" s="534"/>
      <c r="S25" s="534"/>
      <c r="T25" s="535"/>
      <c r="U25" s="536"/>
      <c r="V25" s="537"/>
    </row>
    <row r="26" spans="1:22" ht="21.95" customHeight="1">
      <c r="A26" s="161">
        <v>8</v>
      </c>
      <c r="B26" s="386"/>
      <c r="C26" s="386"/>
      <c r="D26" s="386"/>
      <c r="E26" s="386"/>
      <c r="F26" s="387"/>
      <c r="G26" s="162"/>
      <c r="H26" s="527"/>
      <c r="I26" s="528"/>
      <c r="J26" s="529"/>
      <c r="K26" s="163"/>
      <c r="L26" s="530"/>
      <c r="M26" s="530"/>
      <c r="N26" s="531"/>
      <c r="O26" s="532"/>
      <c r="P26" s="533"/>
      <c r="Q26" s="164"/>
      <c r="R26" s="534"/>
      <c r="S26" s="534"/>
      <c r="T26" s="535"/>
      <c r="U26" s="536"/>
      <c r="V26" s="537"/>
    </row>
    <row r="27" spans="1:22" ht="21.95" customHeight="1">
      <c r="A27" s="161">
        <v>9</v>
      </c>
      <c r="B27" s="386"/>
      <c r="C27" s="386"/>
      <c r="D27" s="386"/>
      <c r="E27" s="386"/>
      <c r="F27" s="387"/>
      <c r="G27" s="162"/>
      <c r="H27" s="527"/>
      <c r="I27" s="528"/>
      <c r="J27" s="529"/>
      <c r="K27" s="163"/>
      <c r="L27" s="530"/>
      <c r="M27" s="530"/>
      <c r="N27" s="531"/>
      <c r="O27" s="532"/>
      <c r="P27" s="533"/>
      <c r="Q27" s="164"/>
      <c r="R27" s="534"/>
      <c r="S27" s="534"/>
      <c r="T27" s="535"/>
      <c r="U27" s="536"/>
      <c r="V27" s="537"/>
    </row>
    <row r="28" spans="1:22" ht="21.95" customHeight="1" thickBot="1">
      <c r="A28" s="165">
        <v>10</v>
      </c>
      <c r="B28" s="373"/>
      <c r="C28" s="373"/>
      <c r="D28" s="373"/>
      <c r="E28" s="373"/>
      <c r="F28" s="374"/>
      <c r="G28" s="166"/>
      <c r="H28" s="548"/>
      <c r="I28" s="549"/>
      <c r="J28" s="550"/>
      <c r="K28" s="167"/>
      <c r="L28" s="551"/>
      <c r="M28" s="551"/>
      <c r="N28" s="552"/>
      <c r="O28" s="553"/>
      <c r="P28" s="554"/>
      <c r="Q28" s="168"/>
      <c r="R28" s="555"/>
      <c r="S28" s="555"/>
      <c r="T28" s="556"/>
      <c r="U28" s="557"/>
      <c r="V28" s="558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538" t="s">
        <v>281</v>
      </c>
      <c r="L30" s="539"/>
      <c r="M30" s="539"/>
      <c r="N30" s="539"/>
      <c r="O30" s="540"/>
      <c r="P30" s="175" t="s">
        <v>282</v>
      </c>
      <c r="Q30" s="360">
        <v>17000000</v>
      </c>
      <c r="R30" s="361"/>
      <c r="S30" s="362" t="s">
        <v>283</v>
      </c>
      <c r="T30" s="363"/>
      <c r="U30" s="364"/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541" t="s">
        <v>284</v>
      </c>
      <c r="L31" s="542"/>
      <c r="M31" s="542"/>
      <c r="N31" s="542"/>
      <c r="O31" s="543"/>
      <c r="P31" s="176" t="s">
        <v>282</v>
      </c>
      <c r="Q31" s="544">
        <f>Q30*1.1-Q30</f>
        <v>1700000</v>
      </c>
      <c r="R31" s="545"/>
      <c r="S31" s="369" t="s">
        <v>283</v>
      </c>
      <c r="T31" s="370"/>
      <c r="U31" s="546">
        <f>U30*1.08-U30</f>
        <v>0</v>
      </c>
      <c r="V31" s="547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564" t="s">
        <v>285</v>
      </c>
      <c r="L32" s="565"/>
      <c r="M32" s="565"/>
      <c r="N32" s="565"/>
      <c r="O32" s="566"/>
      <c r="P32" s="177" t="s">
        <v>282</v>
      </c>
      <c r="Q32" s="346">
        <f>Q30+Q31</f>
        <v>18700000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567" t="s">
        <v>286</v>
      </c>
      <c r="L33" s="568"/>
      <c r="M33" s="568"/>
      <c r="N33" s="568"/>
      <c r="O33" s="568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541" t="s">
        <v>287</v>
      </c>
      <c r="L34" s="542"/>
      <c r="M34" s="542"/>
      <c r="N34" s="542"/>
      <c r="O34" s="542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559" t="s">
        <v>288</v>
      </c>
      <c r="L35" s="560"/>
      <c r="M35" s="560"/>
      <c r="N35" s="560"/>
      <c r="O35" s="560"/>
      <c r="P35" s="561">
        <f>Q32+U32+P33</f>
        <v>18700000</v>
      </c>
      <c r="Q35" s="562"/>
      <c r="R35" s="562"/>
      <c r="S35" s="562"/>
      <c r="T35" s="562"/>
      <c r="U35" s="562"/>
      <c r="V35" s="563"/>
    </row>
    <row r="36" spans="2:22" ht="13.5" customHeight="1"/>
  </sheetData>
  <sheetProtection selectLockedCells="1"/>
  <mergeCells count="112"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D15:E15"/>
    <mergeCell ref="O15:O16"/>
    <mergeCell ref="Q15:V15"/>
    <mergeCell ref="D16:E16"/>
    <mergeCell ref="J16:K16"/>
    <mergeCell ref="L16:N16"/>
    <mergeCell ref="Q16:V16"/>
    <mergeCell ref="C12:D13"/>
    <mergeCell ref="E12:J13"/>
    <mergeCell ref="P13:Q13"/>
    <mergeCell ref="S13:V13"/>
    <mergeCell ref="P14:Q14"/>
    <mergeCell ref="S14:V14"/>
    <mergeCell ref="O7:O8"/>
    <mergeCell ref="P7:V8"/>
    <mergeCell ref="C8:H8"/>
    <mergeCell ref="P9:V9"/>
    <mergeCell ref="C10:H10"/>
    <mergeCell ref="P10:V10"/>
    <mergeCell ref="B1:V1"/>
    <mergeCell ref="P2:Q2"/>
    <mergeCell ref="R2:V2"/>
    <mergeCell ref="P3:Q3"/>
    <mergeCell ref="R3:V3"/>
    <mergeCell ref="C5:G5"/>
    <mergeCell ref="O5:O6"/>
    <mergeCell ref="P5:V6"/>
    <mergeCell ref="C6:H6"/>
  </mergeCells>
  <phoneticPr fontId="2"/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D0DF-32BD-4F49-AC93-3FC021AA6FBD}">
  <sheetPr>
    <tabColor rgb="FF92D050"/>
  </sheetPr>
  <dimension ref="A1:Y36"/>
  <sheetViews>
    <sheetView showZeros="0" view="pageBreakPreview" zoomScale="85" zoomScaleNormal="85" zoomScaleSheetLayoutView="85" workbookViewId="0">
      <selection activeCell="K14" sqref="K14"/>
    </sheetView>
  </sheetViews>
  <sheetFormatPr defaultColWidth="9" defaultRowHeight="13.5"/>
  <cols>
    <col min="1" max="1" width="4" style="137" customWidth="1"/>
    <col min="2" max="2" width="7.625" style="137" customWidth="1"/>
    <col min="3" max="5" width="8.625" style="137" customWidth="1"/>
    <col min="6" max="6" width="9.625" style="137" customWidth="1"/>
    <col min="7" max="7" width="12.5" style="137" customWidth="1"/>
    <col min="8" max="10" width="5" style="137" customWidth="1"/>
    <col min="11" max="11" width="10.625" style="137" customWidth="1"/>
    <col min="12" max="14" width="5" style="137" customWidth="1"/>
    <col min="15" max="16" width="7.875" style="137" customWidth="1"/>
    <col min="17" max="17" width="10.625" style="137" customWidth="1"/>
    <col min="18" max="18" width="7.875" style="137" customWidth="1"/>
    <col min="19" max="20" width="3.75" style="137" customWidth="1"/>
    <col min="21" max="22" width="9.375" style="137" customWidth="1"/>
    <col min="23" max="24" width="5.625" style="137" customWidth="1"/>
    <col min="25" max="16384" width="9" style="137"/>
  </cols>
  <sheetData>
    <row r="1" spans="2:25" ht="24.95" customHeight="1" thickBot="1">
      <c r="B1" s="480" t="s">
        <v>238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135"/>
      <c r="X1" s="136"/>
      <c r="Y1" s="136"/>
    </row>
    <row r="2" spans="2:25" ht="27" customHeight="1" thickBot="1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481" t="s">
        <v>239</v>
      </c>
      <c r="Q2" s="482"/>
      <c r="R2" s="483">
        <v>45777</v>
      </c>
      <c r="S2" s="484"/>
      <c r="T2" s="484"/>
      <c r="U2" s="484"/>
      <c r="V2" s="485"/>
    </row>
    <row r="3" spans="2:25" ht="27" customHeight="1" thickBo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86" t="s">
        <v>240</v>
      </c>
      <c r="Q3" s="487"/>
      <c r="R3" s="488" t="s">
        <v>241</v>
      </c>
      <c r="S3" s="489"/>
      <c r="T3" s="489"/>
      <c r="U3" s="489"/>
      <c r="V3" s="490"/>
    </row>
    <row r="4" spans="2:25" ht="7.5" customHeight="1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39"/>
      <c r="R4" s="140"/>
      <c r="S4" s="140"/>
      <c r="T4" s="140"/>
      <c r="U4" s="140"/>
      <c r="V4" s="140"/>
    </row>
    <row r="5" spans="2:25" ht="18" customHeight="1">
      <c r="C5" s="491" t="s">
        <v>242</v>
      </c>
      <c r="D5" s="491"/>
      <c r="E5" s="491"/>
      <c r="F5" s="491"/>
      <c r="G5" s="491"/>
      <c r="O5" s="478" t="s">
        <v>243</v>
      </c>
      <c r="P5" s="461" t="s">
        <v>244</v>
      </c>
      <c r="Q5" s="461"/>
      <c r="R5" s="461"/>
      <c r="S5" s="461"/>
      <c r="T5" s="461"/>
      <c r="U5" s="461"/>
      <c r="V5" s="461"/>
    </row>
    <row r="6" spans="2:25" ht="18" customHeight="1">
      <c r="C6" s="492" t="s">
        <v>245</v>
      </c>
      <c r="D6" s="492"/>
      <c r="E6" s="492"/>
      <c r="F6" s="492"/>
      <c r="G6" s="492"/>
      <c r="H6" s="492"/>
      <c r="I6" s="142"/>
      <c r="J6" s="142"/>
      <c r="O6" s="478"/>
      <c r="P6" s="461"/>
      <c r="Q6" s="461"/>
      <c r="R6" s="461"/>
      <c r="S6" s="461"/>
      <c r="T6" s="461"/>
      <c r="U6" s="461"/>
      <c r="V6" s="461"/>
    </row>
    <row r="7" spans="2:25" ht="16.5" customHeight="1">
      <c r="F7" s="142"/>
      <c r="G7" s="142"/>
      <c r="H7" s="142"/>
      <c r="I7" s="142"/>
      <c r="J7" s="142"/>
      <c r="K7" s="143"/>
      <c r="L7" s="143"/>
      <c r="M7" s="144"/>
      <c r="N7" s="144"/>
      <c r="O7" s="478" t="s">
        <v>246</v>
      </c>
      <c r="P7" s="463" t="s">
        <v>247</v>
      </c>
      <c r="Q7" s="463"/>
      <c r="R7" s="463"/>
      <c r="S7" s="463"/>
      <c r="T7" s="463"/>
      <c r="U7" s="463"/>
      <c r="V7" s="463"/>
    </row>
    <row r="8" spans="2:25" ht="18" customHeight="1">
      <c r="C8" s="479" t="s">
        <v>248</v>
      </c>
      <c r="D8" s="479"/>
      <c r="E8" s="479"/>
      <c r="F8" s="479"/>
      <c r="G8" s="479"/>
      <c r="H8" s="479"/>
      <c r="L8" s="145"/>
      <c r="M8" s="145"/>
      <c r="N8" s="145"/>
      <c r="O8" s="478"/>
      <c r="P8" s="463"/>
      <c r="Q8" s="463"/>
      <c r="R8" s="463"/>
      <c r="S8" s="463"/>
      <c r="T8" s="463"/>
      <c r="U8" s="463"/>
      <c r="V8" s="463"/>
    </row>
    <row r="9" spans="2:25" ht="18" customHeight="1">
      <c r="O9" s="141" t="s">
        <v>249</v>
      </c>
      <c r="P9" s="477" t="s">
        <v>250</v>
      </c>
      <c r="Q9" s="477"/>
      <c r="R9" s="477"/>
      <c r="S9" s="477"/>
      <c r="T9" s="477"/>
      <c r="U9" s="477"/>
      <c r="V9" s="477"/>
    </row>
    <row r="10" spans="2:25" ht="18" customHeight="1">
      <c r="C10" s="478" t="s">
        <v>251</v>
      </c>
      <c r="D10" s="478"/>
      <c r="E10" s="478"/>
      <c r="F10" s="478"/>
      <c r="G10" s="478"/>
      <c r="H10" s="478"/>
      <c r="L10" s="145"/>
      <c r="M10" s="145"/>
      <c r="N10" s="145"/>
      <c r="O10" s="141" t="s">
        <v>252</v>
      </c>
      <c r="P10" s="477" t="s">
        <v>253</v>
      </c>
      <c r="Q10" s="477"/>
      <c r="R10" s="477"/>
      <c r="S10" s="477"/>
      <c r="T10" s="477"/>
      <c r="U10" s="477"/>
      <c r="V10" s="477"/>
    </row>
    <row r="11" spans="2:25" ht="9.75" customHeight="1" thickBot="1"/>
    <row r="12" spans="2:25" ht="15" customHeight="1" thickBot="1">
      <c r="C12" s="496" t="s">
        <v>254</v>
      </c>
      <c r="D12" s="497"/>
      <c r="E12" s="449">
        <f>P35</f>
        <v>8800000</v>
      </c>
      <c r="F12" s="450"/>
      <c r="G12" s="450"/>
      <c r="H12" s="450"/>
      <c r="I12" s="450"/>
      <c r="J12" s="451"/>
      <c r="N12" s="145"/>
      <c r="O12" s="137" t="s">
        <v>255</v>
      </c>
    </row>
    <row r="13" spans="2:25" ht="24" customHeight="1" thickBot="1">
      <c r="C13" s="498"/>
      <c r="D13" s="499"/>
      <c r="E13" s="452"/>
      <c r="F13" s="453"/>
      <c r="G13" s="453"/>
      <c r="H13" s="453"/>
      <c r="I13" s="453"/>
      <c r="J13" s="454"/>
      <c r="N13" s="145"/>
      <c r="O13" s="146" t="s">
        <v>256</v>
      </c>
      <c r="P13" s="455" t="s">
        <v>257</v>
      </c>
      <c r="Q13" s="455"/>
      <c r="R13" s="147" t="s">
        <v>258</v>
      </c>
      <c r="S13" s="456" t="s">
        <v>259</v>
      </c>
      <c r="T13" s="457"/>
      <c r="U13" s="457"/>
      <c r="V13" s="458"/>
    </row>
    <row r="14" spans="2:25" ht="24" customHeight="1">
      <c r="O14" s="148" t="s">
        <v>260</v>
      </c>
      <c r="P14" s="430" t="s">
        <v>261</v>
      </c>
      <c r="Q14" s="430"/>
      <c r="R14" s="149" t="s">
        <v>262</v>
      </c>
      <c r="S14" s="431">
        <v>793207</v>
      </c>
      <c r="T14" s="432"/>
      <c r="U14" s="432"/>
      <c r="V14" s="433"/>
    </row>
    <row r="15" spans="2:25" ht="16.5" customHeight="1">
      <c r="C15" s="150"/>
      <c r="D15" s="493"/>
      <c r="E15" s="493"/>
      <c r="F15" s="151"/>
      <c r="O15" s="494" t="s">
        <v>263</v>
      </c>
      <c r="P15" s="152" t="s">
        <v>264</v>
      </c>
      <c r="Q15" s="437" t="s">
        <v>265</v>
      </c>
      <c r="R15" s="438"/>
      <c r="S15" s="438"/>
      <c r="T15" s="438"/>
      <c r="U15" s="438"/>
      <c r="V15" s="439"/>
    </row>
    <row r="16" spans="2:25" ht="22.5" customHeight="1" thickBot="1">
      <c r="C16" s="150"/>
      <c r="D16" s="493"/>
      <c r="E16" s="493"/>
      <c r="F16" s="151"/>
      <c r="J16" s="441" t="s">
        <v>266</v>
      </c>
      <c r="K16" s="441"/>
      <c r="L16" s="441" t="s">
        <v>267</v>
      </c>
      <c r="M16" s="441"/>
      <c r="N16" s="441"/>
      <c r="O16" s="495"/>
      <c r="P16" s="153" t="s">
        <v>268</v>
      </c>
      <c r="Q16" s="442" t="s">
        <v>269</v>
      </c>
      <c r="R16" s="443"/>
      <c r="S16" s="443"/>
      <c r="T16" s="443"/>
      <c r="U16" s="443"/>
      <c r="V16" s="444"/>
    </row>
    <row r="17" spans="1:22" ht="8.25" customHeight="1" thickBot="1"/>
    <row r="18" spans="1:22" ht="39.75" customHeight="1" thickBot="1">
      <c r="A18" s="511" t="s">
        <v>270</v>
      </c>
      <c r="B18" s="512"/>
      <c r="C18" s="512"/>
      <c r="D18" s="512"/>
      <c r="E18" s="512"/>
      <c r="F18" s="513"/>
      <c r="G18" s="154" t="s">
        <v>271</v>
      </c>
      <c r="H18" s="514" t="s">
        <v>272</v>
      </c>
      <c r="I18" s="515"/>
      <c r="J18" s="516"/>
      <c r="K18" s="155" t="s">
        <v>273</v>
      </c>
      <c r="L18" s="517" t="s">
        <v>274</v>
      </c>
      <c r="M18" s="518"/>
      <c r="N18" s="519"/>
      <c r="O18" s="520" t="s">
        <v>275</v>
      </c>
      <c r="P18" s="521"/>
      <c r="Q18" s="156" t="s">
        <v>276</v>
      </c>
      <c r="R18" s="522" t="s">
        <v>277</v>
      </c>
      <c r="S18" s="523"/>
      <c r="T18" s="524"/>
      <c r="U18" s="525" t="s">
        <v>278</v>
      </c>
      <c r="V18" s="526"/>
    </row>
    <row r="19" spans="1:22" ht="21.95" customHeight="1">
      <c r="A19" s="157">
        <v>1</v>
      </c>
      <c r="B19" s="400" t="s">
        <v>279</v>
      </c>
      <c r="C19" s="401"/>
      <c r="D19" s="401"/>
      <c r="E19" s="401"/>
      <c r="F19" s="402"/>
      <c r="G19" s="158" t="s">
        <v>280</v>
      </c>
      <c r="H19" s="500">
        <v>130730000</v>
      </c>
      <c r="I19" s="501"/>
      <c r="J19" s="502"/>
      <c r="K19" s="159">
        <v>6.0999999999999999E-2</v>
      </c>
      <c r="L19" s="503">
        <v>8000000</v>
      </c>
      <c r="M19" s="503"/>
      <c r="N19" s="504"/>
      <c r="O19" s="505"/>
      <c r="P19" s="506"/>
      <c r="Q19" s="160">
        <v>6.0999999999999999E-2</v>
      </c>
      <c r="R19" s="507">
        <v>8000000</v>
      </c>
      <c r="S19" s="507"/>
      <c r="T19" s="508"/>
      <c r="U19" s="509"/>
      <c r="V19" s="510"/>
    </row>
    <row r="20" spans="1:22" ht="21.95" customHeight="1">
      <c r="A20" s="161">
        <v>2</v>
      </c>
      <c r="B20" s="399"/>
      <c r="C20" s="386"/>
      <c r="D20" s="386"/>
      <c r="E20" s="386"/>
      <c r="F20" s="387"/>
      <c r="G20" s="162"/>
      <c r="H20" s="527"/>
      <c r="I20" s="528"/>
      <c r="J20" s="529"/>
      <c r="K20" s="163"/>
      <c r="L20" s="530"/>
      <c r="M20" s="530"/>
      <c r="N20" s="531"/>
      <c r="O20" s="532"/>
      <c r="P20" s="533"/>
      <c r="Q20" s="164"/>
      <c r="R20" s="534"/>
      <c r="S20" s="534"/>
      <c r="T20" s="535"/>
      <c r="U20" s="536"/>
      <c r="V20" s="537"/>
    </row>
    <row r="21" spans="1:22" ht="21.95" customHeight="1">
      <c r="A21" s="161">
        <v>3</v>
      </c>
      <c r="B21" s="386"/>
      <c r="C21" s="386"/>
      <c r="D21" s="386"/>
      <c r="E21" s="386"/>
      <c r="F21" s="387"/>
      <c r="G21" s="162"/>
      <c r="H21" s="527"/>
      <c r="I21" s="528"/>
      <c r="J21" s="529"/>
      <c r="K21" s="163"/>
      <c r="L21" s="530"/>
      <c r="M21" s="530"/>
      <c r="N21" s="531"/>
      <c r="O21" s="532"/>
      <c r="P21" s="533"/>
      <c r="Q21" s="164"/>
      <c r="R21" s="534"/>
      <c r="S21" s="534"/>
      <c r="T21" s="535"/>
      <c r="U21" s="536"/>
      <c r="V21" s="537"/>
    </row>
    <row r="22" spans="1:22" ht="21.95" customHeight="1">
      <c r="A22" s="161">
        <v>4</v>
      </c>
      <c r="B22" s="386"/>
      <c r="C22" s="386"/>
      <c r="D22" s="386"/>
      <c r="E22" s="386"/>
      <c r="F22" s="387"/>
      <c r="G22" s="162"/>
      <c r="H22" s="527"/>
      <c r="I22" s="528"/>
      <c r="J22" s="529"/>
      <c r="K22" s="163"/>
      <c r="L22" s="530"/>
      <c r="M22" s="530"/>
      <c r="N22" s="531"/>
      <c r="O22" s="532"/>
      <c r="P22" s="533"/>
      <c r="Q22" s="164"/>
      <c r="R22" s="534"/>
      <c r="S22" s="534"/>
      <c r="T22" s="535"/>
      <c r="U22" s="536"/>
      <c r="V22" s="537"/>
    </row>
    <row r="23" spans="1:22" ht="21.95" customHeight="1">
      <c r="A23" s="161">
        <v>5</v>
      </c>
      <c r="B23" s="386"/>
      <c r="C23" s="386"/>
      <c r="D23" s="386"/>
      <c r="E23" s="386"/>
      <c r="F23" s="387"/>
      <c r="G23" s="162"/>
      <c r="H23" s="527"/>
      <c r="I23" s="528"/>
      <c r="J23" s="529"/>
      <c r="K23" s="163"/>
      <c r="L23" s="530"/>
      <c r="M23" s="530"/>
      <c r="N23" s="531"/>
      <c r="O23" s="532"/>
      <c r="P23" s="533"/>
      <c r="Q23" s="164"/>
      <c r="R23" s="534"/>
      <c r="S23" s="534"/>
      <c r="T23" s="535"/>
      <c r="U23" s="536"/>
      <c r="V23" s="537"/>
    </row>
    <row r="24" spans="1:22" ht="21.95" customHeight="1">
      <c r="A24" s="161">
        <v>6</v>
      </c>
      <c r="B24" s="386"/>
      <c r="C24" s="386"/>
      <c r="D24" s="386"/>
      <c r="E24" s="386"/>
      <c r="F24" s="387"/>
      <c r="G24" s="162"/>
      <c r="H24" s="527"/>
      <c r="I24" s="528"/>
      <c r="J24" s="529"/>
      <c r="K24" s="163"/>
      <c r="L24" s="530"/>
      <c r="M24" s="530"/>
      <c r="N24" s="531"/>
      <c r="O24" s="532"/>
      <c r="P24" s="533"/>
      <c r="Q24" s="164"/>
      <c r="R24" s="534"/>
      <c r="S24" s="534"/>
      <c r="T24" s="535"/>
      <c r="U24" s="536"/>
      <c r="V24" s="537"/>
    </row>
    <row r="25" spans="1:22" ht="21.95" customHeight="1">
      <c r="A25" s="161">
        <v>7</v>
      </c>
      <c r="B25" s="386"/>
      <c r="C25" s="386"/>
      <c r="D25" s="386"/>
      <c r="E25" s="386"/>
      <c r="F25" s="387"/>
      <c r="G25" s="162"/>
      <c r="H25" s="527"/>
      <c r="I25" s="528"/>
      <c r="J25" s="529"/>
      <c r="K25" s="163"/>
      <c r="L25" s="530"/>
      <c r="M25" s="530"/>
      <c r="N25" s="531"/>
      <c r="O25" s="532"/>
      <c r="P25" s="533"/>
      <c r="Q25" s="164"/>
      <c r="R25" s="534"/>
      <c r="S25" s="534"/>
      <c r="T25" s="535"/>
      <c r="U25" s="536"/>
      <c r="V25" s="537"/>
    </row>
    <row r="26" spans="1:22" ht="21.95" customHeight="1">
      <c r="A26" s="161">
        <v>8</v>
      </c>
      <c r="B26" s="386"/>
      <c r="C26" s="386"/>
      <c r="D26" s="386"/>
      <c r="E26" s="386"/>
      <c r="F26" s="387"/>
      <c r="G26" s="162"/>
      <c r="H26" s="527"/>
      <c r="I26" s="528"/>
      <c r="J26" s="529"/>
      <c r="K26" s="163"/>
      <c r="L26" s="530"/>
      <c r="M26" s="530"/>
      <c r="N26" s="531"/>
      <c r="O26" s="532"/>
      <c r="P26" s="533"/>
      <c r="Q26" s="164"/>
      <c r="R26" s="534"/>
      <c r="S26" s="534"/>
      <c r="T26" s="535"/>
      <c r="U26" s="536"/>
      <c r="V26" s="537"/>
    </row>
    <row r="27" spans="1:22" ht="21.95" customHeight="1">
      <c r="A27" s="161">
        <v>9</v>
      </c>
      <c r="B27" s="386"/>
      <c r="C27" s="386"/>
      <c r="D27" s="386"/>
      <c r="E27" s="386"/>
      <c r="F27" s="387"/>
      <c r="G27" s="162"/>
      <c r="H27" s="527"/>
      <c r="I27" s="528"/>
      <c r="J27" s="529"/>
      <c r="K27" s="163"/>
      <c r="L27" s="530"/>
      <c r="M27" s="530"/>
      <c r="N27" s="531"/>
      <c r="O27" s="532"/>
      <c r="P27" s="533"/>
      <c r="Q27" s="164"/>
      <c r="R27" s="534"/>
      <c r="S27" s="534"/>
      <c r="T27" s="535"/>
      <c r="U27" s="536"/>
      <c r="V27" s="537"/>
    </row>
    <row r="28" spans="1:22" ht="21.95" customHeight="1" thickBot="1">
      <c r="A28" s="165">
        <v>10</v>
      </c>
      <c r="B28" s="373"/>
      <c r="C28" s="373"/>
      <c r="D28" s="373"/>
      <c r="E28" s="373"/>
      <c r="F28" s="374"/>
      <c r="G28" s="166"/>
      <c r="H28" s="548"/>
      <c r="I28" s="549"/>
      <c r="J28" s="550"/>
      <c r="K28" s="167"/>
      <c r="L28" s="551"/>
      <c r="M28" s="551"/>
      <c r="N28" s="552"/>
      <c r="O28" s="553"/>
      <c r="P28" s="554"/>
      <c r="Q28" s="168"/>
      <c r="R28" s="555"/>
      <c r="S28" s="555"/>
      <c r="T28" s="556"/>
      <c r="U28" s="557"/>
      <c r="V28" s="558"/>
    </row>
    <row r="29" spans="1:22" ht="9.75" customHeight="1" thickBot="1">
      <c r="B29" s="169"/>
      <c r="C29" s="169"/>
      <c r="D29" s="169"/>
      <c r="E29" s="169"/>
      <c r="F29" s="169"/>
      <c r="G29" s="170"/>
      <c r="H29" s="171"/>
      <c r="I29" s="171"/>
      <c r="J29" s="171"/>
      <c r="K29" s="172"/>
      <c r="L29" s="173"/>
      <c r="M29" s="173"/>
      <c r="N29" s="173"/>
      <c r="O29" s="172"/>
      <c r="P29" s="172"/>
      <c r="Q29" s="172"/>
      <c r="R29" s="172"/>
      <c r="S29" s="172"/>
      <c r="T29" s="172"/>
      <c r="U29" s="173"/>
      <c r="V29" s="173"/>
    </row>
    <row r="30" spans="1:22" ht="20.100000000000001" customHeight="1">
      <c r="B30" s="144"/>
      <c r="C30" s="144"/>
      <c r="D30" s="144"/>
      <c r="E30" s="144"/>
      <c r="F30" s="144"/>
      <c r="G30" s="174"/>
      <c r="H30" s="174"/>
      <c r="I30" s="174"/>
      <c r="K30" s="538" t="s">
        <v>281</v>
      </c>
      <c r="L30" s="539"/>
      <c r="M30" s="539"/>
      <c r="N30" s="539"/>
      <c r="O30" s="540"/>
      <c r="P30" s="175" t="s">
        <v>282</v>
      </c>
      <c r="Q30" s="360">
        <v>8000000</v>
      </c>
      <c r="R30" s="361"/>
      <c r="S30" s="362" t="s">
        <v>283</v>
      </c>
      <c r="T30" s="363"/>
      <c r="U30" s="364"/>
      <c r="V30" s="365"/>
    </row>
    <row r="31" spans="1:22" ht="20.100000000000001" customHeight="1">
      <c r="B31" s="144"/>
      <c r="C31" s="144"/>
      <c r="D31" s="144"/>
      <c r="E31" s="144"/>
      <c r="F31" s="144"/>
      <c r="G31" s="174"/>
      <c r="H31" s="174"/>
      <c r="I31" s="174"/>
      <c r="K31" s="541" t="s">
        <v>284</v>
      </c>
      <c r="L31" s="542"/>
      <c r="M31" s="542"/>
      <c r="N31" s="542"/>
      <c r="O31" s="543"/>
      <c r="P31" s="176" t="s">
        <v>282</v>
      </c>
      <c r="Q31" s="544">
        <f>Q30*1.1-Q30</f>
        <v>800000</v>
      </c>
      <c r="R31" s="545"/>
      <c r="S31" s="369" t="s">
        <v>283</v>
      </c>
      <c r="T31" s="370"/>
      <c r="U31" s="546">
        <f>U30*1.08-U30</f>
        <v>0</v>
      </c>
      <c r="V31" s="547"/>
    </row>
    <row r="32" spans="1:22" ht="20.100000000000001" customHeight="1" thickBot="1">
      <c r="B32" s="144"/>
      <c r="C32" s="144"/>
      <c r="D32" s="144"/>
      <c r="E32" s="144"/>
      <c r="F32" s="144"/>
      <c r="G32" s="144"/>
      <c r="H32" s="174"/>
      <c r="I32" s="174"/>
      <c r="J32" s="174"/>
      <c r="K32" s="564" t="s">
        <v>285</v>
      </c>
      <c r="L32" s="565"/>
      <c r="M32" s="565"/>
      <c r="N32" s="565"/>
      <c r="O32" s="566"/>
      <c r="P32" s="177" t="s">
        <v>282</v>
      </c>
      <c r="Q32" s="346">
        <f>Q30+Q31</f>
        <v>8800000</v>
      </c>
      <c r="R32" s="347"/>
      <c r="S32" s="348" t="s">
        <v>283</v>
      </c>
      <c r="T32" s="349"/>
      <c r="U32" s="350">
        <f>U30+U31</f>
        <v>0</v>
      </c>
      <c r="V32" s="351"/>
    </row>
    <row r="33" spans="2:22" ht="20.100000000000001" customHeight="1">
      <c r="B33" s="144"/>
      <c r="C33" s="144"/>
      <c r="D33" s="144"/>
      <c r="E33" s="144"/>
      <c r="F33" s="144"/>
      <c r="G33" s="144"/>
      <c r="H33" s="174"/>
      <c r="I33" s="174"/>
      <c r="J33" s="174"/>
      <c r="K33" s="567" t="s">
        <v>286</v>
      </c>
      <c r="L33" s="568"/>
      <c r="M33" s="568"/>
      <c r="N33" s="568"/>
      <c r="O33" s="568"/>
      <c r="P33" s="354">
        <f>SUM(O19:P28)</f>
        <v>0</v>
      </c>
      <c r="Q33" s="355"/>
      <c r="R33" s="355"/>
      <c r="S33" s="355"/>
      <c r="T33" s="355"/>
      <c r="U33" s="355"/>
      <c r="V33" s="356"/>
    </row>
    <row r="34" spans="2:22" ht="20.100000000000001" customHeight="1" thickBot="1">
      <c r="B34" s="144"/>
      <c r="C34" s="144"/>
      <c r="D34" s="144"/>
      <c r="E34" s="144"/>
      <c r="F34" s="144"/>
      <c r="G34" s="144"/>
      <c r="H34" s="174"/>
      <c r="I34" s="174"/>
      <c r="J34" s="174"/>
      <c r="K34" s="541" t="s">
        <v>287</v>
      </c>
      <c r="L34" s="542"/>
      <c r="M34" s="542"/>
      <c r="N34" s="542"/>
      <c r="O34" s="542"/>
      <c r="P34" s="335">
        <f>P33-(P33/1.1)</f>
        <v>0</v>
      </c>
      <c r="Q34" s="336"/>
      <c r="R34" s="336"/>
      <c r="S34" s="336"/>
      <c r="T34" s="336"/>
      <c r="U34" s="336"/>
      <c r="V34" s="337"/>
    </row>
    <row r="35" spans="2:22" ht="20.100000000000001" customHeight="1" thickBot="1">
      <c r="K35" s="559" t="s">
        <v>288</v>
      </c>
      <c r="L35" s="560"/>
      <c r="M35" s="560"/>
      <c r="N35" s="560"/>
      <c r="O35" s="560"/>
      <c r="P35" s="561">
        <f>Q32+U32+P33</f>
        <v>8800000</v>
      </c>
      <c r="Q35" s="562"/>
      <c r="R35" s="562"/>
      <c r="S35" s="562"/>
      <c r="T35" s="562"/>
      <c r="U35" s="562"/>
      <c r="V35" s="563"/>
    </row>
    <row r="36" spans="2:22" ht="13.5" customHeight="1"/>
  </sheetData>
  <sheetProtection selectLockedCells="1"/>
  <mergeCells count="112">
    <mergeCell ref="K34:O34"/>
    <mergeCell ref="P34:V34"/>
    <mergeCell ref="K35:O35"/>
    <mergeCell ref="P35:V35"/>
    <mergeCell ref="K32:O32"/>
    <mergeCell ref="Q32:R32"/>
    <mergeCell ref="S32:T32"/>
    <mergeCell ref="U32:V32"/>
    <mergeCell ref="K33:O33"/>
    <mergeCell ref="P33:V33"/>
    <mergeCell ref="K30:O30"/>
    <mergeCell ref="Q30:R30"/>
    <mergeCell ref="S30:T30"/>
    <mergeCell ref="U30:V30"/>
    <mergeCell ref="K31:O31"/>
    <mergeCell ref="Q31:R31"/>
    <mergeCell ref="S31:T31"/>
    <mergeCell ref="U31:V31"/>
    <mergeCell ref="B28:F28"/>
    <mergeCell ref="H28:J28"/>
    <mergeCell ref="L28:N28"/>
    <mergeCell ref="O28:P28"/>
    <mergeCell ref="R28:T28"/>
    <mergeCell ref="U28:V28"/>
    <mergeCell ref="B27:F27"/>
    <mergeCell ref="H27:J27"/>
    <mergeCell ref="L27:N27"/>
    <mergeCell ref="O27:P27"/>
    <mergeCell ref="R27:T27"/>
    <mergeCell ref="U27:V27"/>
    <mergeCell ref="B26:F26"/>
    <mergeCell ref="H26:J26"/>
    <mergeCell ref="L26:N26"/>
    <mergeCell ref="O26:P26"/>
    <mergeCell ref="R26:T26"/>
    <mergeCell ref="U26:V26"/>
    <mergeCell ref="B25:F25"/>
    <mergeCell ref="H25:J25"/>
    <mergeCell ref="L25:N25"/>
    <mergeCell ref="O25:P25"/>
    <mergeCell ref="R25:T25"/>
    <mergeCell ref="U25:V25"/>
    <mergeCell ref="B24:F24"/>
    <mergeCell ref="H24:J24"/>
    <mergeCell ref="L24:N24"/>
    <mergeCell ref="O24:P24"/>
    <mergeCell ref="R24:T24"/>
    <mergeCell ref="U24:V24"/>
    <mergeCell ref="B23:F23"/>
    <mergeCell ref="H23:J23"/>
    <mergeCell ref="L23:N23"/>
    <mergeCell ref="O23:P23"/>
    <mergeCell ref="R23:T23"/>
    <mergeCell ref="U23:V23"/>
    <mergeCell ref="B22:F22"/>
    <mergeCell ref="H22:J22"/>
    <mergeCell ref="L22:N22"/>
    <mergeCell ref="O22:P22"/>
    <mergeCell ref="R22:T22"/>
    <mergeCell ref="U22:V22"/>
    <mergeCell ref="B21:F21"/>
    <mergeCell ref="H21:J21"/>
    <mergeCell ref="L21:N21"/>
    <mergeCell ref="O21:P21"/>
    <mergeCell ref="R21:T21"/>
    <mergeCell ref="U21:V21"/>
    <mergeCell ref="B20:F20"/>
    <mergeCell ref="H20:J20"/>
    <mergeCell ref="L20:N20"/>
    <mergeCell ref="O20:P20"/>
    <mergeCell ref="R20:T20"/>
    <mergeCell ref="U20:V20"/>
    <mergeCell ref="B19:F19"/>
    <mergeCell ref="H19:J19"/>
    <mergeCell ref="L19:N19"/>
    <mergeCell ref="O19:P19"/>
    <mergeCell ref="R19:T19"/>
    <mergeCell ref="U19:V19"/>
    <mergeCell ref="A18:F18"/>
    <mergeCell ref="H18:J18"/>
    <mergeCell ref="L18:N18"/>
    <mergeCell ref="O18:P18"/>
    <mergeCell ref="R18:T18"/>
    <mergeCell ref="U18:V18"/>
    <mergeCell ref="D15:E15"/>
    <mergeCell ref="O15:O16"/>
    <mergeCell ref="Q15:V15"/>
    <mergeCell ref="D16:E16"/>
    <mergeCell ref="J16:K16"/>
    <mergeCell ref="L16:N16"/>
    <mergeCell ref="Q16:V16"/>
    <mergeCell ref="C12:D13"/>
    <mergeCell ref="E12:J13"/>
    <mergeCell ref="P13:Q13"/>
    <mergeCell ref="S13:V13"/>
    <mergeCell ref="P14:Q14"/>
    <mergeCell ref="S14:V14"/>
    <mergeCell ref="O7:O8"/>
    <mergeCell ref="P7:V8"/>
    <mergeCell ref="C8:H8"/>
    <mergeCell ref="P9:V9"/>
    <mergeCell ref="C10:H10"/>
    <mergeCell ref="P10:V10"/>
    <mergeCell ref="B1:V1"/>
    <mergeCell ref="P2:Q2"/>
    <mergeCell ref="R2:V2"/>
    <mergeCell ref="P3:Q3"/>
    <mergeCell ref="R3:V3"/>
    <mergeCell ref="C5:G5"/>
    <mergeCell ref="O5:O6"/>
    <mergeCell ref="P5:V6"/>
    <mergeCell ref="C6:H6"/>
  </mergeCells>
  <phoneticPr fontId="2"/>
  <printOptions horizontalCentered="1" verticalCentered="1"/>
  <pageMargins left="0.59055118110236227" right="0.39370078740157483" top="0.39370078740157483" bottom="0.39370078740157483" header="0.31496062992125984" footer="0.31496062992125984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</vt:i4>
      </vt:variant>
    </vt:vector>
  </HeadingPairs>
  <TitlesOfParts>
    <vt:vector size="13" baseType="lpstr">
      <vt:lpstr>工事台帳ＮＥＷ</vt:lpstr>
      <vt:lpstr>請求入金確認表</vt:lpstr>
      <vt:lpstr>R8-2請求</vt:lpstr>
      <vt:lpstr>R7-12請求</vt:lpstr>
      <vt:lpstr>R7-11請求</vt:lpstr>
      <vt:lpstr>R7-9月請求</vt:lpstr>
      <vt:lpstr>R7-8月請求</vt:lpstr>
      <vt:lpstr>R7-7月請求</vt:lpstr>
      <vt:lpstr>R7-6月請求</vt:lpstr>
      <vt:lpstr>R7-5月請求</vt:lpstr>
      <vt:lpstr>R7-4月請求</vt:lpstr>
      <vt:lpstr>工事台帳ＮＥＷ!Print_Area</vt:lpstr>
      <vt:lpstr>請求入金確認表!Print_Area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織田鉄也</dc:creator>
  <cp:lastModifiedBy>鉄也 織田</cp:lastModifiedBy>
  <cp:lastPrinted>2025-12-26T06:46:58Z</cp:lastPrinted>
  <dcterms:created xsi:type="dcterms:W3CDTF">2013-07-30T02:10:19Z</dcterms:created>
  <dcterms:modified xsi:type="dcterms:W3CDTF">2026-03-10T03:37:35Z</dcterms:modified>
</cp:coreProperties>
</file>